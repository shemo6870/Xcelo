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checkCompatibility="true" defaultThemeVersion="124226" filterPrivacy="true"/>
  <sheets>
    <sheet name="دليل الملف" sheetId="1" r:id="rId1"/>
    <sheet name="مؤشرات المجمع" sheetId="2" r:id="rId2"/>
    <sheet name="إحصاء الطلاب" sheetId="3" r:id="rId3"/>
    <sheet name="المعلمين" sheetId="4" r:id="rId4"/>
    <sheet name="المعلمات" sheetId="5" r:id="rId5"/>
    <sheet name="إدارة المجمع" sheetId="6" r:id="rId6"/>
    <sheet name="اداريين دار القلم" sheetId="7" r:id="rId7"/>
    <sheet name="اداريات دار القلم" sheetId="8" r:id="rId8"/>
    <sheet name="شواغر دار القلم" sheetId="9" r:id="rId9"/>
    <sheet name="مقارنة النمو" sheetId="10" r:id="rId10"/>
    <sheet name="الإحصاء العام للمجمع" sheetId="11" r:id="rId11"/>
    <sheet name="بيانات رواتب دار القلم" sheetId="12" r:id="rId12"/>
    <sheet name="اسناد بنين ف١" sheetId="13" r:id="rId13"/>
    <sheet name="اسناد البنات ف١" sheetId="14" r:id="rId14"/>
    <sheet name="الطاقة الاستيعابية" sheetId="15" r:id="rId15"/>
    <sheet name="إحصاء التخصصات" sheetId="16" r:id="rId16"/>
    <sheet name="نشاط بنين ف٢" sheetId="17" r:id="rId17"/>
    <sheet name="نشاط بنات ف٢" sheetId="18" r:id="rId18"/>
    <sheet name="الخدمات المساندة" sheetId="19" r:id="rId19"/>
    <sheet name="مساحات الفصول" sheetId="20" r:id="rId20"/>
    <sheet name="القدرات والتحصيلي" sheetId="21" r:id="rId21"/>
    <sheet name="تصنيف العاملين " sheetId="22" r:id="rId22"/>
    <sheet name="العهدة المالية" sheetId="23" r:id="rId23"/>
  </sheets>
  <definedNames>
    <definedName name="_xlnm._FilterDatabase" localSheetId="15" hidden="1">'إحصاء التخصصات'!#REF!</definedName>
    <definedName name="_xlnm._FilterDatabase" localSheetId="4" hidden="1">'المعلمات'!B3:M62</definedName>
    <definedName name="_xlnm._FilterDatabase" localSheetId="3" hidden="1">'المعلمين'!B3:O61</definedName>
    <definedName name="_xlnm._FilterDatabase" localSheetId="11" hidden="1">'بيانات رواتب دار القلم'!$A$1:$AI$114</definedName>
    <definedName name="_GoBack" localSheetId="14">'الطاقة الاستيعابية'!#REF!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_(* #,##0.00_);_(* \(#,##0.00\);_(* &quot;-&quot;??_);_(@_)"/>
    <numFmt numFmtId="165" formatCode="0.0"/>
    <numFmt numFmtId="166" formatCode="0.000"/>
    <numFmt numFmtId="167" formatCode="[$-1010000]yyyy/mm/dd;@"/>
    <numFmt numFmtId="168" formatCode="&quot;dd/MM/yyyy&quot;"/>
    <numFmt numFmtId="169" formatCode="[$-2000000]0"/>
    <numFmt numFmtId="170" formatCode="[$-2000401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theer.alharbi@altanmiyah.edu.sa" TargetMode="External"/><Relationship Id="rId2" Type="http://schemas.openxmlformats.org/officeDocument/2006/relationships/hyperlink" Target="mailto:s.alajmi@altanmiyah.edu.sa" TargetMode="External"/><Relationship Id="rId3" Type="http://schemas.openxmlformats.org/officeDocument/2006/relationships/hyperlink" Target="mailto:4613@altanmiyah.edu.sa" TargetMode="External"/><Relationship Id="rId4" Type="http://schemas.openxmlformats.org/officeDocument/2006/relationships/hyperlink" Target="mailto:4838@altanmiyah.edu.s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y.hassan@altanmiyah.edu.sa" TargetMode="External"/><Relationship Id="rId2" Type="http://schemas.openxmlformats.org/officeDocument/2006/relationships/hyperlink" Target="mailto:M.Sanhabi@altanmiyah.edu.s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24@altanmiyah.edu.sa" TargetMode="External"/><Relationship Id="rId2" Type="http://schemas.openxmlformats.org/officeDocument/2006/relationships/hyperlink" Target="mailto:Q.Zaqzaq@altanmiyah.edu.sa" TargetMode="External"/><Relationship Id="rId3" Type="http://schemas.openxmlformats.org/officeDocument/2006/relationships/hyperlink" Target="mailto:4033@altanmiyah.edu.sa" TargetMode="External"/><Relationship Id="rId4" Type="http://schemas.openxmlformats.org/officeDocument/2006/relationships/hyperlink" Target="mailto:M.Mufreh@altanmiyah.edu.sa" TargetMode="External"/><Relationship Id="rId5" Type="http://schemas.openxmlformats.org/officeDocument/2006/relationships/hyperlink" Target="mailto:B.Deputy.Sec_Daq@Altanmiyah.edu.sa" TargetMode="External"/><Relationship Id="rId6" Type="http://schemas.openxmlformats.org/officeDocument/2006/relationships/hyperlink" Target="mailto:A.Alsaadani@altanmiyah.edu.sa" TargetMode="External"/><Relationship Id="rId7" Type="http://schemas.openxmlformats.org/officeDocument/2006/relationships/hyperlink" Target="mailto:saud.almutairi@altanmiyah.edu.s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Noura.alotaibi@altanmiyah.edu.sa" TargetMode="External"/><Relationship Id="rId2" Type="http://schemas.openxmlformats.org/officeDocument/2006/relationships/hyperlink" Target="mailto:N.alsajaa@altanmiyah.edu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D52"/>
  <sheetViews>
    <sheetView workbookViewId="0" rightToLeft="1"/>
  </sheetViews>
  <sheetData/>
  <pageMargins left="0.15748031496062992" right="0.15748031496062992" top="0.31496062992125984" bottom="0.31496062992125984" header="0.31496062992125984" footer="0.31496062992125984"/>
  <ignoredErrors>
    <ignoredError numberStoredAsText="1" sqref="B2:AD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1"/>
  </sheetViews>
  <sheetData>
    <row r="1">
      <c r="A1" t="str">
        <v xml:space="preserve"> المرحلة</v>
      </c>
      <c r="B1" t="str">
        <v>عدد الطلاب</v>
      </c>
      <c r="C1" t="str">
        <v xml:space="preserve">           حساب الهيئة الإدارية بالنسبة للطلاب  Students Administrative Staff Ratio SAR</v>
      </c>
      <c r="D1" t="str">
        <v>حساب الهيئة التعليمية بالنسبة للطلاب Students Teaching Ratio  STR</v>
      </c>
      <c r="E1" t="str">
        <v xml:space="preserve">  حساب الخدمات المساندة بالنسبة للطلاب  Students Support Services Ratio SSR</v>
      </c>
      <c r="F1" t="str">
        <v>حساب طاقم المجمع بالنسبة للطلاب Students Everyone Ratio  SER</v>
      </c>
    </row>
    <row r="2">
      <c r="C2">
        <v>75</v>
      </c>
      <c r="D2" t="str">
        <v>15/16</v>
      </c>
      <c r="E2">
        <v>100</v>
      </c>
      <c r="F2">
        <v>10</v>
      </c>
    </row>
    <row r="3">
      <c r="A3" t="str">
        <v>تمهيدي</v>
      </c>
      <c r="B3">
        <f>'إحصاء الطلاب'!I6</f>
        <v>43</v>
      </c>
      <c r="C3">
        <f>B3/0.5</f>
        <v>86</v>
      </c>
      <c r="D3">
        <f>B3/المعلمات!J35</f>
        <v>21.5</v>
      </c>
      <c r="E3">
        <f>B3/('الإحصاء العام للمجمع'!H8+'الإحصاء العام للمجمع'!J8)</f>
        <v>43</v>
      </c>
      <c r="F3">
        <f>B3/'الإحصاء العام للمجمع'!K8</f>
        <v>10.75</v>
      </c>
    </row>
    <row r="4">
      <c r="A4" t="str">
        <v>ابتدائي بنات</v>
      </c>
      <c r="B4">
        <f>'إحصاء الطلاب'!I17</f>
        <v>112</v>
      </c>
      <c r="C4">
        <f>B4/('اداريات دار القلم'!F32)</f>
        <v>56</v>
      </c>
      <c r="D4">
        <f>B4/المعلمات!J36</f>
        <v>12.444444444444445</v>
      </c>
      <c r="E4">
        <f>B4/('الإحصاء العام للمجمع'!H10+'الإحصاء العام للمجمع'!J10)</f>
        <v>56</v>
      </c>
      <c r="F4">
        <f>B4/'الإحصاء العام للمجمع'!K10</f>
        <v>9.333333333333334</v>
      </c>
    </row>
    <row r="5">
      <c r="A5" t="str">
        <v>ابتدائي بنين</v>
      </c>
      <c r="B5">
        <f>'إحصاء الطلاب'!I24</f>
        <v>273</v>
      </c>
      <c r="C5">
        <f>B5/('اداريين دار القلم'!F26)</f>
        <v>91</v>
      </c>
      <c r="D5">
        <f>B5/(المعلمين!H66+المعلمين!I66)</f>
        <v>15.166666666666666</v>
      </c>
      <c r="E5">
        <f>B5/('الإحصاء العام للمجمع'!H9+'الإحصاء العام للمجمع'!J9)</f>
        <v>91</v>
      </c>
      <c r="F5">
        <f>B5/'الإحصاء العام للمجمع'!K9</f>
        <v>11.375</v>
      </c>
    </row>
    <row r="6">
      <c r="A6" t="str">
        <v>متوسط بنين</v>
      </c>
      <c r="B6">
        <f>'إحصاء الطلاب'!I28</f>
        <v>204</v>
      </c>
      <c r="C6">
        <f>B6/('اداريين دار القلم'!F27)</f>
        <v>102</v>
      </c>
      <c r="D6">
        <f>B6/(المعلمين!H67+المعلمين!I67)</f>
        <v>17</v>
      </c>
      <c r="E6" t="e">
        <f>B6/('الإحصاء العام للمجمع'!H11+'الإحصاء العام للمجمع'!J11)</f>
        <v>#DIV/0!</v>
      </c>
      <c r="F6">
        <f>B6/'الإحصاء العام للمجمع'!K11</f>
        <v>13.6</v>
      </c>
    </row>
    <row r="7">
      <c r="A7" t="str">
        <v>متوسط بنات</v>
      </c>
      <c r="B7">
        <f>'إحصاء الطلاب'!I32</f>
        <v>48</v>
      </c>
      <c r="C7">
        <f>B7/('اداريات دار القلم'!F33)</f>
        <v>24</v>
      </c>
      <c r="D7">
        <f>B7/(المعلمات!J37)</f>
        <v>12</v>
      </c>
      <c r="E7" t="e">
        <f>B7/('الإحصاء العام للمجمع'!H12+'الإحصاء العام للمجمع'!J12)</f>
        <v>#DIV/0!</v>
      </c>
      <c r="F7">
        <f>B7/'الإحصاء العام للمجمع'!K12</f>
        <v>9.6</v>
      </c>
    </row>
    <row r="8">
      <c r="A8" t="str">
        <v>ثانوي بنين</v>
      </c>
      <c r="B8">
        <f>('إحصاء الطلاب'!I43)-('إحصاء الطلاب'!I34+'إحصاء الطلاب'!I36)</f>
        <v>610</v>
      </c>
      <c r="C8">
        <f>B8/('اداريين دار القلم'!F28)</f>
        <v>101.66666666666667</v>
      </c>
      <c r="D8">
        <f>B8/(المعلمين!H68+المعلمين!I68)</f>
        <v>22.59259259259259</v>
      </c>
      <c r="E8">
        <f>B8/('الإحصاء العام للمجمع'!H13+'الإحصاء العام للمجمع'!J13)</f>
        <v>203.33333333333334</v>
      </c>
      <c r="F8">
        <f>B8/'الإحصاء العام للمجمع'!K13</f>
        <v>16.944444444444443</v>
      </c>
    </row>
    <row r="9">
      <c r="A9" t="str">
        <v>ثانوي بنات</v>
      </c>
      <c r="B9">
        <f>'إحصاء الطلاب'!I53</f>
        <v>189</v>
      </c>
      <c r="C9">
        <f>B9/('اداريات دار القلم'!F34)</f>
        <v>47.25</v>
      </c>
      <c r="D9">
        <f>B9/(المعلمات!J38)</f>
        <v>18.9</v>
      </c>
      <c r="E9" t="e">
        <f>B9/('الإحصاء العام للمجمع'!H14+'الإحصاء العام للمجمع'!J14)</f>
        <v>#DIV/0!</v>
      </c>
      <c r="F9">
        <f>B9/'الإحصاء العام للمجمع'!K14</f>
        <v>12.6</v>
      </c>
    </row>
    <row r="10">
      <c r="A10" t="str">
        <v xml:space="preserve">مجمع دار القلم </v>
      </c>
      <c r="B10">
        <f>SUM(B3:B9)</f>
        <v>1479</v>
      </c>
      <c r="C10">
        <f>B10/('اداريين دار القلم'!F29+'اداريات دار القلم'!F35)</f>
        <v>77.84210526315789</v>
      </c>
      <c r="D10">
        <f>B10/(المعلمين!H70+المعلمات!J39)</f>
        <v>18.036585365853657</v>
      </c>
      <c r="E10">
        <f>B10/'الإحصاء العام للمجمع'!F25</f>
        <v>147.9</v>
      </c>
      <c r="F10">
        <f>'الإحصاء العام للمجمع'!K25</f>
        <v>121</v>
      </c>
    </row>
  </sheetData>
  <mergeCells count="2">
    <mergeCell ref="A1:A2"/>
    <mergeCell ref="B1:B2"/>
  </mergeCells>
  <pageMargins left="0.15748031496062992" right="0.15748031496062992" top="0.3937007874015748" bottom="0.7480314960629921" header="0.31496062992125984" footer="0.31496062992125984"/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9"/>
  <sheetViews>
    <sheetView workbookViewId="0" rightToLeft="1"/>
  </sheetViews>
  <sheetData>
    <row r="1">
      <c r="A1" t="str">
        <v>احصائية الطلاب والفصول والجنسية</v>
      </c>
    </row>
    <row r="2">
      <c r="A2" t="str">
        <v>المرحلة</v>
      </c>
      <c r="B2" t="str">
        <v>الجنس</v>
      </c>
      <c r="C2" t="str">
        <v>الصف</v>
      </c>
      <c r="E2" t="str">
        <v>عدد الفصول</v>
      </c>
      <c r="F2" t="str">
        <v>تربية خاصة</v>
      </c>
      <c r="G2" t="str">
        <v>سعودي</v>
      </c>
      <c r="H2" t="str">
        <v>غير سعودي</v>
      </c>
      <c r="I2" t="str">
        <v xml:space="preserve">المجموع </v>
      </c>
      <c r="J2" t="str">
        <v>الحصص حسب الخطة</v>
      </c>
      <c r="K2" t="str">
        <v>عدد الحصص بالمرحلة</v>
      </c>
      <c r="L2" t="str">
        <v>عدد المعلمين</v>
      </c>
      <c r="M2" t="str">
        <v>معدل توزيع الحصص</v>
      </c>
      <c r="N2" t="str">
        <v>المقاعد الشاغرة</v>
      </c>
    </row>
    <row r="3">
      <c r="A3" t="str">
        <v>تمهيدي</v>
      </c>
      <c r="B3" t="str">
        <v>بنات</v>
      </c>
      <c r="C3" t="str">
        <v>م1</v>
      </c>
      <c r="E3">
        <v>1</v>
      </c>
      <c r="G3">
        <v>5</v>
      </c>
      <c r="H3">
        <v>1</v>
      </c>
      <c r="I3">
        <f>SUM(G3:H3)</f>
        <v>6</v>
      </c>
      <c r="N3">
        <f>(E3*25)-(F3+G3+H3)</f>
        <v>19</v>
      </c>
    </row>
    <row r="4">
      <c r="C4" t="str">
        <v>م2</v>
      </c>
      <c r="E4">
        <v>1</v>
      </c>
      <c r="G4">
        <v>16</v>
      </c>
      <c r="H4">
        <v>0</v>
      </c>
      <c r="I4">
        <f>SUM(G4:H4)</f>
        <v>16</v>
      </c>
      <c r="N4">
        <f>(E4*25)-(F4+G4+H4)</f>
        <v>9</v>
      </c>
    </row>
    <row r="5">
      <c r="C5" t="str">
        <v>م3</v>
      </c>
      <c r="E5">
        <v>1</v>
      </c>
      <c r="G5">
        <v>18</v>
      </c>
      <c r="H5">
        <v>3</v>
      </c>
      <c r="I5">
        <f>SUM(G5:H5)</f>
        <v>21</v>
      </c>
      <c r="N5">
        <f>(E5*25)-(F5+G5+H5)</f>
        <v>4</v>
      </c>
    </row>
    <row r="6">
      <c r="A6" t="str">
        <v>مجموع مرحلة التمهيدي</v>
      </c>
      <c r="E6">
        <f>SUM(E3:E5)</f>
        <v>3</v>
      </c>
      <c r="F6">
        <f>SUM(F3:F5)</f>
        <v>0</v>
      </c>
      <c r="G6">
        <f>SUM(G3:G5)</f>
        <v>39</v>
      </c>
      <c r="H6">
        <f>SUM(H3:H5)</f>
        <v>4</v>
      </c>
      <c r="I6">
        <f>SUM(I3:I5)</f>
        <v>43</v>
      </c>
      <c r="J6">
        <v>0</v>
      </c>
      <c r="K6">
        <v>0</v>
      </c>
      <c r="L6">
        <v>2</v>
      </c>
      <c r="M6">
        <v>0</v>
      </c>
      <c r="N6">
        <f>(E6*25)-(F6+G6+H6)</f>
        <v>32</v>
      </c>
    </row>
    <row r="7">
      <c r="A7" t="str">
        <v>ابتدائي</v>
      </c>
      <c r="B7" t="str">
        <v>بنات</v>
      </c>
      <c r="C7" t="str">
        <v>الأول</v>
      </c>
      <c r="D7" t="str">
        <v>بنات</v>
      </c>
      <c r="E7">
        <v>1</v>
      </c>
      <c r="G7">
        <v>11</v>
      </c>
      <c r="I7">
        <f>SUM(G7:H8)</f>
        <v>11</v>
      </c>
      <c r="N7">
        <f>(E7*25)-(F7+G7+H7)</f>
        <v>14</v>
      </c>
    </row>
    <row r="8">
      <c r="D8" t="str">
        <v>بنين</v>
      </c>
      <c r="E8">
        <v>0</v>
      </c>
      <c r="G8">
        <v>0</v>
      </c>
      <c r="H8">
        <v>0</v>
      </c>
      <c r="N8">
        <f>(E8*25)-(F8+G8+H8)</f>
        <v>0</v>
      </c>
    </row>
    <row r="9">
      <c r="C9" t="str">
        <v>الثاني</v>
      </c>
      <c r="D9" t="str">
        <v>بنات</v>
      </c>
      <c r="E9">
        <v>1</v>
      </c>
      <c r="G9">
        <v>9</v>
      </c>
      <c r="H9">
        <v>8</v>
      </c>
      <c r="I9">
        <f>SUM(G9:H10)</f>
        <v>17</v>
      </c>
      <c r="N9">
        <f>(E9*25)-(F9+G9+H9)</f>
        <v>8</v>
      </c>
    </row>
    <row r="10">
      <c r="D10" t="str">
        <v>بنين</v>
      </c>
      <c r="E10">
        <v>0</v>
      </c>
      <c r="G10">
        <v>0</v>
      </c>
      <c r="H10">
        <v>0</v>
      </c>
      <c r="N10">
        <f>(E10*25)-(F10+G10+H10)</f>
        <v>0</v>
      </c>
    </row>
    <row r="11">
      <c r="C11" t="str">
        <v>الثالث</v>
      </c>
      <c r="D11" t="str">
        <v>بنات</v>
      </c>
      <c r="E11">
        <v>1</v>
      </c>
      <c r="G11">
        <v>24</v>
      </c>
      <c r="H11">
        <v>5</v>
      </c>
      <c r="I11">
        <f>SUM(G11:H12)</f>
        <v>37</v>
      </c>
      <c r="N11">
        <f>(E11*25)-(F11+G11+H11)</f>
        <v>-4</v>
      </c>
    </row>
    <row r="12">
      <c r="D12" t="str">
        <v>بنين</v>
      </c>
      <c r="E12">
        <v>1</v>
      </c>
      <c r="G12">
        <v>6</v>
      </c>
      <c r="H12">
        <v>2</v>
      </c>
      <c r="N12">
        <f>(E12*25)-(F12+G12+H12)</f>
        <v>17</v>
      </c>
    </row>
    <row r="13">
      <c r="C13" t="str">
        <v>الرابع</v>
      </c>
      <c r="D13" t="str">
        <v>بنات</v>
      </c>
      <c r="E13">
        <v>1</v>
      </c>
      <c r="G13">
        <v>18</v>
      </c>
      <c r="H13">
        <v>4</v>
      </c>
      <c r="I13">
        <f>SUM(G13:H14)</f>
        <v>22</v>
      </c>
      <c r="N13">
        <f>(E13*25)-(F13+G13+H13)</f>
        <v>3</v>
      </c>
    </row>
    <row r="14">
      <c r="D14" t="str">
        <v>بنين</v>
      </c>
      <c r="E14">
        <v>0</v>
      </c>
      <c r="G14">
        <v>0</v>
      </c>
      <c r="H14">
        <v>0</v>
      </c>
      <c r="N14">
        <f>(E14*25)-(F14+G14+H14)</f>
        <v>0</v>
      </c>
    </row>
    <row r="15">
      <c r="C15" t="str">
        <v>الخامس</v>
      </c>
      <c r="E15">
        <v>1</v>
      </c>
      <c r="G15">
        <v>12</v>
      </c>
      <c r="H15">
        <v>2</v>
      </c>
      <c r="I15">
        <f>SUM(G15:H15)</f>
        <v>14</v>
      </c>
      <c r="N15">
        <f>(E15*25)-(F15+G15+H15)</f>
        <v>11</v>
      </c>
    </row>
    <row r="16">
      <c r="C16" t="str">
        <v>السادس</v>
      </c>
      <c r="E16">
        <v>1</v>
      </c>
      <c r="G16">
        <v>9</v>
      </c>
      <c r="H16">
        <v>2</v>
      </c>
      <c r="I16">
        <f>SUM(G16:H16)</f>
        <v>11</v>
      </c>
      <c r="N16">
        <f>(E16*25)-(F16+G16+H16)</f>
        <v>14</v>
      </c>
    </row>
    <row r="17">
      <c r="B17" t="str">
        <v>مجموع المرحلة الابتدائية بنات</v>
      </c>
      <c r="E17">
        <f>SUM(E7:E16)</f>
        <v>7</v>
      </c>
      <c r="F17">
        <f>SUM(F7:F16)</f>
        <v>0</v>
      </c>
      <c r="G17">
        <f>SUM(G7:G16)</f>
        <v>89</v>
      </c>
      <c r="H17">
        <f>SUM(H7:H16)</f>
        <v>23</v>
      </c>
      <c r="I17">
        <f>SUM(I7:I16)</f>
        <v>112</v>
      </c>
      <c r="J17">
        <v>33</v>
      </c>
      <c r="K17">
        <f>E17*J17</f>
        <v>231</v>
      </c>
      <c r="L17">
        <v>10</v>
      </c>
      <c r="M17">
        <f>K17/L17</f>
        <v>23.1</v>
      </c>
      <c r="N17">
        <f>(E17*25)-(F17+G17+H17)</f>
        <v>63</v>
      </c>
    </row>
    <row r="18">
      <c r="B18" t="str">
        <v>بنين</v>
      </c>
      <c r="C18" t="str">
        <v>الأول</v>
      </c>
      <c r="E18">
        <v>2</v>
      </c>
      <c r="F18">
        <v>0</v>
      </c>
      <c r="G18">
        <v>39</v>
      </c>
      <c r="H18">
        <v>5</v>
      </c>
      <c r="I18">
        <f>SUM(F18:H18)</f>
        <v>44</v>
      </c>
      <c r="N18">
        <f>(E18*25)-(F18+G18+H18)</f>
        <v>6</v>
      </c>
    </row>
    <row r="19">
      <c r="C19" t="str">
        <v>الثاني</v>
      </c>
      <c r="E19">
        <v>2</v>
      </c>
      <c r="F19">
        <v>0</v>
      </c>
      <c r="G19">
        <v>40</v>
      </c>
      <c r="H19">
        <v>2</v>
      </c>
      <c r="I19">
        <f>SUM(F19:H19)</f>
        <v>42</v>
      </c>
      <c r="N19">
        <f>(E19*25)-(F19+G19+H19)</f>
        <v>8</v>
      </c>
    </row>
    <row r="20">
      <c r="C20" t="str">
        <v>الثالث</v>
      </c>
      <c r="E20">
        <v>2</v>
      </c>
      <c r="F20">
        <v>0</v>
      </c>
      <c r="G20">
        <v>33</v>
      </c>
      <c r="H20">
        <v>3</v>
      </c>
      <c r="I20">
        <f>SUM(F20:H20)</f>
        <v>36</v>
      </c>
      <c r="N20">
        <f>(E20*25)-(F20+G20+H20)</f>
        <v>14</v>
      </c>
    </row>
    <row r="21">
      <c r="C21" t="str">
        <v>الرابع</v>
      </c>
      <c r="E21">
        <v>3</v>
      </c>
      <c r="F21">
        <v>0</v>
      </c>
      <c r="G21">
        <v>52</v>
      </c>
      <c r="H21">
        <v>9</v>
      </c>
      <c r="I21">
        <f>SUM(F21:H21)</f>
        <v>61</v>
      </c>
      <c r="N21">
        <f>(E21*25)-(F21+G21+H21)</f>
        <v>14</v>
      </c>
    </row>
    <row r="22">
      <c r="C22" t="str">
        <v>الخامس</v>
      </c>
      <c r="E22">
        <v>2</v>
      </c>
      <c r="F22">
        <v>0</v>
      </c>
      <c r="G22">
        <v>47</v>
      </c>
      <c r="H22">
        <v>5</v>
      </c>
      <c r="I22">
        <f>SUM(F22:H22)</f>
        <v>52</v>
      </c>
      <c r="N22">
        <f>(E22*25)-(F22+G22+H22)</f>
        <v>-2</v>
      </c>
    </row>
    <row r="23">
      <c r="C23" t="str">
        <v>السادس</v>
      </c>
      <c r="E23">
        <v>2</v>
      </c>
      <c r="F23">
        <v>0</v>
      </c>
      <c r="G23">
        <v>31</v>
      </c>
      <c r="H23">
        <v>7</v>
      </c>
      <c r="I23">
        <f>SUM(F23:H23)</f>
        <v>38</v>
      </c>
      <c r="N23">
        <f>(E23*25)-(F23+G23+H23)</f>
        <v>12</v>
      </c>
    </row>
    <row r="24">
      <c r="B24" t="str">
        <v>مجموع المرحلة الابتدائية بنين</v>
      </c>
      <c r="E24">
        <f>SUM(E18:E23)</f>
        <v>13</v>
      </c>
      <c r="F24">
        <f>SUM(F18:F23)</f>
        <v>0</v>
      </c>
      <c r="G24">
        <f>SUM(G18:G23)</f>
        <v>242</v>
      </c>
      <c r="H24">
        <f>SUM(H18:H23)</f>
        <v>31</v>
      </c>
      <c r="I24">
        <f>SUM(I18:I23)</f>
        <v>273</v>
      </c>
      <c r="J24">
        <v>33</v>
      </c>
      <c r="K24">
        <f>E24*J24</f>
        <v>429</v>
      </c>
      <c r="L24">
        <v>18</v>
      </c>
      <c r="M24">
        <f>K24/L24</f>
        <v>23.833333333333332</v>
      </c>
      <c r="N24">
        <f>(E24*25)-(F24+G24+H24)</f>
        <v>52</v>
      </c>
    </row>
    <row r="25">
      <c r="A25" t="str">
        <v>متوسط</v>
      </c>
      <c r="B25" t="str">
        <v>بنين</v>
      </c>
      <c r="C25" t="str">
        <v>الأول</v>
      </c>
      <c r="E25">
        <v>3</v>
      </c>
      <c r="F25">
        <v>0</v>
      </c>
      <c r="G25">
        <v>61</v>
      </c>
      <c r="H25">
        <v>8</v>
      </c>
      <c r="I25">
        <f>SUM(F25:H25)</f>
        <v>69</v>
      </c>
      <c r="N25">
        <f>(E25*25)-(F25+G25+H25)</f>
        <v>6</v>
      </c>
    </row>
    <row r="26">
      <c r="C26" t="str">
        <v>الثاني</v>
      </c>
      <c r="E26">
        <v>3</v>
      </c>
      <c r="F26">
        <v>0</v>
      </c>
      <c r="G26">
        <v>61</v>
      </c>
      <c r="H26">
        <v>6</v>
      </c>
      <c r="I26">
        <f>SUM(F26:H26)</f>
        <v>67</v>
      </c>
      <c r="N26">
        <f>(E26*25)-(F26+G26+H26)</f>
        <v>8</v>
      </c>
    </row>
    <row r="27">
      <c r="C27" t="str">
        <v>الثالث</v>
      </c>
      <c r="E27">
        <v>3</v>
      </c>
      <c r="F27">
        <v>0</v>
      </c>
      <c r="G27">
        <v>56</v>
      </c>
      <c r="H27">
        <v>12</v>
      </c>
      <c r="I27">
        <f>SUM(F27:H27)</f>
        <v>68</v>
      </c>
      <c r="N27">
        <f>(E27*25)-(F27+G27+H27)</f>
        <v>7</v>
      </c>
    </row>
    <row r="28">
      <c r="B28" t="str">
        <v>مجموع متوسط بنين</v>
      </c>
      <c r="E28">
        <f>SUM(E25:E27)</f>
        <v>9</v>
      </c>
      <c r="F28">
        <f>SUM(F25:F27)</f>
        <v>0</v>
      </c>
      <c r="G28">
        <f>SUM(G25:G27)</f>
        <v>178</v>
      </c>
      <c r="H28">
        <f>SUM(H25:H27)</f>
        <v>26</v>
      </c>
      <c r="I28">
        <f>SUM(I25:I27)</f>
        <v>204</v>
      </c>
      <c r="J28">
        <v>35</v>
      </c>
      <c r="K28">
        <f>E28*J28</f>
        <v>315</v>
      </c>
      <c r="L28">
        <v>13</v>
      </c>
      <c r="M28">
        <f>K28/L28</f>
        <v>24.23076923076923</v>
      </c>
      <c r="N28">
        <f>(E28*25)-(F28+G28+H28)</f>
        <v>21</v>
      </c>
    </row>
    <row r="29">
      <c r="B29" t="str">
        <v>بنات</v>
      </c>
      <c r="C29" t="str">
        <v>الأول</v>
      </c>
      <c r="E29">
        <v>1</v>
      </c>
      <c r="G29">
        <v>10</v>
      </c>
      <c r="H29">
        <v>4</v>
      </c>
      <c r="I29">
        <f>SUM(F29:H29)</f>
        <v>14</v>
      </c>
      <c r="N29">
        <f>(E29*25)-(F29+G29+H29)</f>
        <v>11</v>
      </c>
    </row>
    <row r="30">
      <c r="C30" t="str">
        <v>الثاني</v>
      </c>
      <c r="E30">
        <v>1</v>
      </c>
      <c r="G30">
        <v>19</v>
      </c>
      <c r="H30">
        <v>0</v>
      </c>
      <c r="I30">
        <f>SUM(F30:H30)</f>
        <v>19</v>
      </c>
      <c r="N30">
        <f>(E30*25)-(F30+G30+H30)</f>
        <v>6</v>
      </c>
    </row>
    <row r="31">
      <c r="C31" t="str">
        <v>الثالث</v>
      </c>
      <c r="E31">
        <v>1</v>
      </c>
      <c r="G31">
        <v>9</v>
      </c>
      <c r="H31">
        <v>6</v>
      </c>
      <c r="I31">
        <f>SUM(F31:H31)</f>
        <v>15</v>
      </c>
      <c r="N31">
        <f>(E31*25)-(F31+G31+H31)</f>
        <v>10</v>
      </c>
    </row>
    <row r="32">
      <c r="B32" t="str">
        <v>مجموع متوسط بنات</v>
      </c>
      <c r="E32">
        <f>SUM(E29:E31)</f>
        <v>3</v>
      </c>
      <c r="F32">
        <f>SUM(F29:F31)</f>
        <v>0</v>
      </c>
      <c r="G32">
        <f>SUM(G29:G31)</f>
        <v>38</v>
      </c>
      <c r="H32">
        <f>SUM(H29:H31)</f>
        <v>10</v>
      </c>
      <c r="I32">
        <f>SUM(I29:I31)</f>
        <v>48</v>
      </c>
      <c r="J32">
        <v>35</v>
      </c>
      <c r="K32">
        <f>E32*J32</f>
        <v>105</v>
      </c>
      <c r="L32">
        <v>4</v>
      </c>
      <c r="M32">
        <f>K32/L32</f>
        <v>26.25</v>
      </c>
      <c r="N32">
        <f>(E32*25)-(F32+G32+H32)</f>
        <v>27</v>
      </c>
    </row>
    <row r="33">
      <c r="A33" t="str">
        <v>ثانوي</v>
      </c>
      <c r="B33" t="str">
        <v>بنين</v>
      </c>
      <c r="C33" t="str">
        <v>الأول</v>
      </c>
      <c r="D33" t="str">
        <v>مسارات</v>
      </c>
      <c r="E33">
        <v>6</v>
      </c>
      <c r="F33">
        <v>0</v>
      </c>
      <c r="G33">
        <v>133</v>
      </c>
      <c r="H33">
        <v>37</v>
      </c>
      <c r="I33">
        <f>SUM(F33:H33)</f>
        <v>170</v>
      </c>
      <c r="J33">
        <f>I33+I34</f>
        <v>203</v>
      </c>
      <c r="N33">
        <f>(E33*25)-(F33+G33+H33)</f>
        <v>-20</v>
      </c>
    </row>
    <row r="34">
      <c r="D34" t="str">
        <v>نون</v>
      </c>
      <c r="E34">
        <v>2</v>
      </c>
      <c r="F34">
        <v>0</v>
      </c>
      <c r="G34">
        <v>33</v>
      </c>
      <c r="H34">
        <v>0</v>
      </c>
      <c r="I34">
        <f>SUM(F34:H34)</f>
        <v>33</v>
      </c>
      <c r="N34">
        <f>(E34*25)-(F34+G34+H34)</f>
        <v>17</v>
      </c>
    </row>
    <row r="35">
      <c r="C35" t="str">
        <v>الثاني</v>
      </c>
      <c r="D35" t="str">
        <v>عام</v>
      </c>
      <c r="E35">
        <v>7</v>
      </c>
      <c r="F35">
        <v>0</v>
      </c>
      <c r="G35">
        <v>176</v>
      </c>
      <c r="H35">
        <v>27</v>
      </c>
      <c r="I35">
        <f>SUM(F35:H35)</f>
        <v>203</v>
      </c>
      <c r="J35">
        <f>I35+I36+I37+I38</f>
        <v>224</v>
      </c>
      <c r="N35">
        <f>(E35*25)-(F35+G35+H35)</f>
        <v>-28</v>
      </c>
    </row>
    <row r="36">
      <c r="D36" t="str">
        <v>نون</v>
      </c>
      <c r="E36">
        <v>1</v>
      </c>
      <c r="F36">
        <v>0</v>
      </c>
      <c r="G36">
        <v>21</v>
      </c>
      <c r="H36">
        <v>0</v>
      </c>
      <c r="I36">
        <f>SUM(F36:H36)</f>
        <v>21</v>
      </c>
      <c r="N36">
        <f>(E36*25)-(F36+G36+H36)</f>
        <v>4</v>
      </c>
    </row>
    <row r="37">
      <c r="D37" t="str">
        <v>صحة</v>
      </c>
      <c r="I37">
        <f>SUM(F37:H37)</f>
        <v>0</v>
      </c>
      <c r="N37">
        <f>(E37*25)-(F37+G37+H37)</f>
        <v>0</v>
      </c>
    </row>
    <row r="38">
      <c r="D38" t="str">
        <v>ادارة</v>
      </c>
      <c r="I38">
        <f>SUM(F38:H38)</f>
        <v>0</v>
      </c>
      <c r="N38">
        <f>(E38*25)-(F38+G38+H38)</f>
        <v>0</v>
      </c>
    </row>
    <row r="39">
      <c r="C39" t="str">
        <v>الثالث</v>
      </c>
      <c r="D39" t="str">
        <v>عام</v>
      </c>
      <c r="E39">
        <v>7</v>
      </c>
      <c r="F39">
        <v>1</v>
      </c>
      <c r="G39">
        <v>197</v>
      </c>
      <c r="H39">
        <v>39</v>
      </c>
      <c r="I39">
        <f>SUM(F39:H39)</f>
        <v>237</v>
      </c>
      <c r="J39">
        <f>I39+I40+I41+I42</f>
        <v>237</v>
      </c>
      <c r="N39">
        <f>(E39*25)-(F39+G39+H39)</f>
        <v>-62</v>
      </c>
    </row>
    <row r="40">
      <c r="D40" t="str">
        <v>حاسب</v>
      </c>
      <c r="I40">
        <f>SUM(F40:H40)</f>
        <v>0</v>
      </c>
      <c r="N40">
        <f>(E40*25)-(F40+G40+H40)</f>
        <v>0</v>
      </c>
    </row>
    <row r="41">
      <c r="D41" t="str">
        <v>صحة</v>
      </c>
      <c r="I41">
        <f>SUM(F41:H41)</f>
        <v>0</v>
      </c>
      <c r="N41">
        <f>(E41*25)-(F41+G41+H41)</f>
        <v>0</v>
      </c>
    </row>
    <row r="42">
      <c r="D42" t="str">
        <v>ادارة</v>
      </c>
      <c r="I42">
        <f>SUM(F42:H42)</f>
        <v>0</v>
      </c>
      <c r="N42">
        <f>(E42*25)-(F42+G42+H42)</f>
        <v>0</v>
      </c>
    </row>
    <row r="43">
      <c r="B43" t="str">
        <v>مجموع ثانوي بنين</v>
      </c>
      <c r="E43">
        <f>SUM(E33:E42)</f>
        <v>23</v>
      </c>
      <c r="F43">
        <f>SUM(F33:F42)</f>
        <v>1</v>
      </c>
      <c r="G43">
        <f>SUM(G33:G42)</f>
        <v>560</v>
      </c>
      <c r="H43">
        <f>SUM(H33:H42)</f>
        <v>103</v>
      </c>
      <c r="I43">
        <f>SUM(I33:I42)</f>
        <v>664</v>
      </c>
      <c r="J43">
        <v>32</v>
      </c>
      <c r="K43">
        <f>E43*J43</f>
        <v>736</v>
      </c>
      <c r="L43">
        <v>26</v>
      </c>
      <c r="M43">
        <f>K43/L43</f>
        <v>28.307692307692307</v>
      </c>
      <c r="N43">
        <f>(E43*25)-(F43+G43+H43)</f>
        <v>-89</v>
      </c>
    </row>
    <row r="44">
      <c r="B44" t="str">
        <v>بنات</v>
      </c>
      <c r="C44" t="str">
        <v>الأول</v>
      </c>
      <c r="E44">
        <v>2</v>
      </c>
      <c r="G44">
        <v>45</v>
      </c>
      <c r="H44">
        <v>3</v>
      </c>
      <c r="I44">
        <f>SUM(F44:H44)</f>
        <v>48</v>
      </c>
      <c r="J44">
        <f>I44</f>
        <v>48</v>
      </c>
      <c r="N44">
        <f>(E44*25)-(F44+G44+H44)</f>
        <v>2</v>
      </c>
    </row>
    <row r="45">
      <c r="C45" t="str">
        <v>الثاني</v>
      </c>
      <c r="D45" t="str">
        <v>عام</v>
      </c>
      <c r="E45">
        <v>3</v>
      </c>
      <c r="G45">
        <v>68</v>
      </c>
      <c r="H45">
        <v>4</v>
      </c>
      <c r="I45">
        <f>SUM(F45:H45)</f>
        <v>72</v>
      </c>
      <c r="J45">
        <f>I45+I46+I47+I48</f>
        <v>72</v>
      </c>
      <c r="N45">
        <f>(E45*25)-(F45+G45+H45)</f>
        <v>3</v>
      </c>
    </row>
    <row r="46">
      <c r="D46" t="str">
        <v>حاسب</v>
      </c>
      <c r="I46">
        <f>SUM(F46:H46)</f>
        <v>0</v>
      </c>
      <c r="N46">
        <f>(E46*25)-(F46+G46+H46)</f>
        <v>0</v>
      </c>
    </row>
    <row r="47">
      <c r="D47" t="str">
        <v>صحة</v>
      </c>
      <c r="I47">
        <f>SUM(F47:H47)</f>
        <v>0</v>
      </c>
      <c r="N47">
        <f>(E47*25)-(F47+G47+H47)</f>
        <v>0</v>
      </c>
    </row>
    <row r="48">
      <c r="D48" t="str">
        <v>ادارة</v>
      </c>
      <c r="I48">
        <f>SUM(F48:H48)</f>
        <v>0</v>
      </c>
      <c r="N48">
        <f>(E48*25)-(F48+G48+H48)</f>
        <v>0</v>
      </c>
    </row>
    <row r="49">
      <c r="C49" t="str">
        <v>الثالث</v>
      </c>
      <c r="D49" t="str">
        <v>عام</v>
      </c>
      <c r="E49">
        <v>2</v>
      </c>
      <c r="G49">
        <v>66</v>
      </c>
      <c r="H49">
        <v>3</v>
      </c>
      <c r="I49">
        <f>SUM(F49:H49)</f>
        <v>69</v>
      </c>
      <c r="J49">
        <f>I49+I50+I51+I52</f>
        <v>69</v>
      </c>
      <c r="N49">
        <f>(E49*25)-(F49+G49+H49)</f>
        <v>-19</v>
      </c>
    </row>
    <row r="50">
      <c r="D50" t="str">
        <v>حاسب</v>
      </c>
      <c r="I50">
        <f>SUM(F50:H50)</f>
        <v>0</v>
      </c>
      <c r="N50">
        <f>(E50*25)-(F50+G50+H50)</f>
        <v>0</v>
      </c>
    </row>
    <row r="51">
      <c r="D51" t="str">
        <v>صحة</v>
      </c>
      <c r="I51">
        <f>SUM(F51:H51)</f>
        <v>0</v>
      </c>
      <c r="N51">
        <f>(E51*25)-(F51+G51+H51)</f>
        <v>0</v>
      </c>
    </row>
    <row r="52">
      <c r="D52" t="str">
        <v>ادارة</v>
      </c>
      <c r="I52">
        <f>SUM(F52:H52)</f>
        <v>0</v>
      </c>
      <c r="N52">
        <f>(E52*25)-(F52+G52+H52)</f>
        <v>0</v>
      </c>
    </row>
    <row r="53">
      <c r="B53" t="str">
        <v>مجموع ثانوي بنات</v>
      </c>
      <c r="E53">
        <f>SUM(E44:E52)</f>
        <v>7</v>
      </c>
      <c r="F53">
        <f>SUM(F44:F52)</f>
        <v>0</v>
      </c>
      <c r="G53">
        <f>SUM(G44:G52)</f>
        <v>179</v>
      </c>
      <c r="H53">
        <f>SUM(H44:H52)</f>
        <v>10</v>
      </c>
      <c r="I53">
        <f>SUM(I44:I52)</f>
        <v>189</v>
      </c>
      <c r="J53">
        <v>32</v>
      </c>
      <c r="K53">
        <f>E53*J53</f>
        <v>224</v>
      </c>
      <c r="L53">
        <v>9</v>
      </c>
      <c r="M53">
        <f>K53/L53</f>
        <v>24.88888888888889</v>
      </c>
      <c r="N53">
        <f>(E53*25)-(F53+G53+H53)</f>
        <v>-14</v>
      </c>
    </row>
    <row r="55">
      <c r="A55" t="str">
        <v xml:space="preserve">المجموع العام للمجمع </v>
      </c>
      <c r="D55" t="str">
        <v>بنين</v>
      </c>
      <c r="E55">
        <f>E24+E28+E43</f>
        <v>45</v>
      </c>
      <c r="F55">
        <f>F24+F28+F43</f>
        <v>1</v>
      </c>
      <c r="G55">
        <f>G24+G28+G43</f>
        <v>980</v>
      </c>
      <c r="H55">
        <f>H24+H28+H43</f>
        <v>160</v>
      </c>
      <c r="I55">
        <f>SUM(F55:H55)</f>
        <v>1141</v>
      </c>
      <c r="K55">
        <f>K24+K28+K43</f>
        <v>1480</v>
      </c>
      <c r="L55">
        <f>L24+L28+L43</f>
        <v>57</v>
      </c>
      <c r="M55">
        <f>K55/L55</f>
        <v>25.964912280701753</v>
      </c>
      <c r="N55">
        <f>(E55*25)-(F55+G55+H55)</f>
        <v>-16</v>
      </c>
    </row>
    <row r="56">
      <c r="D56" t="str">
        <v>بنات</v>
      </c>
      <c r="E56">
        <f>E6</f>
        <v>3</v>
      </c>
      <c r="F56">
        <f>F6</f>
        <v>0</v>
      </c>
      <c r="G56">
        <f>G6</f>
        <v>39</v>
      </c>
      <c r="H56">
        <f>H6</f>
        <v>4</v>
      </c>
      <c r="I56">
        <f>SUM(F56:H56)</f>
        <v>43</v>
      </c>
      <c r="L56">
        <v>2</v>
      </c>
      <c r="N56">
        <f>(E56*25)-(F56+G56+H56)</f>
        <v>32</v>
      </c>
    </row>
    <row r="57">
      <c r="E57">
        <f>E17+E32+E53</f>
        <v>17</v>
      </c>
      <c r="F57">
        <f>F17+F32+F53</f>
        <v>0</v>
      </c>
      <c r="G57">
        <f>G17+G32+G53</f>
        <v>306</v>
      </c>
      <c r="H57">
        <f>H17+H32+H53</f>
        <v>43</v>
      </c>
      <c r="I57">
        <f>SUM(F57:H57)</f>
        <v>349</v>
      </c>
      <c r="K57">
        <f>K17+K32+K53</f>
        <v>560</v>
      </c>
      <c r="L57">
        <f>L17+L32+L53</f>
        <v>23</v>
      </c>
      <c r="M57">
        <f>K57/L57</f>
        <v>24.347826086956523</v>
      </c>
      <c r="N57">
        <f>(E57*25)-(F57+G57+H57)</f>
        <v>76</v>
      </c>
    </row>
    <row r="58">
      <c r="D58" t="str">
        <v>مجموع</v>
      </c>
      <c r="E58">
        <f>SUM(E55:E57)</f>
        <v>65</v>
      </c>
      <c r="F58">
        <f>SUM(F55:F57)</f>
        <v>1</v>
      </c>
      <c r="G58">
        <f>SUM(G55:G57)</f>
        <v>1325</v>
      </c>
      <c r="H58">
        <f>SUM(H55:H57)</f>
        <v>207</v>
      </c>
      <c r="I58">
        <f>SUM(I55:I57)</f>
        <v>1533</v>
      </c>
      <c r="K58">
        <f>K55+K57</f>
        <v>2040</v>
      </c>
      <c r="L58">
        <f>L55+L57</f>
        <v>80</v>
      </c>
      <c r="M58">
        <f>K58/L58</f>
        <v>25.5</v>
      </c>
      <c r="N58">
        <f>(E58*25)-(F58+G58+H58)</f>
        <v>92</v>
      </c>
    </row>
  </sheetData>
  <mergeCells count="61">
    <mergeCell ref="A1:N1"/>
    <mergeCell ref="J3:M5"/>
    <mergeCell ref="A7:A24"/>
    <mergeCell ref="J7:M16"/>
    <mergeCell ref="B17:D17"/>
    <mergeCell ref="B18:B23"/>
    <mergeCell ref="J18:M23"/>
    <mergeCell ref="C21:D21"/>
    <mergeCell ref="B24:D24"/>
    <mergeCell ref="A6:D6"/>
    <mergeCell ref="C15:D15"/>
    <mergeCell ref="C13:C14"/>
    <mergeCell ref="C16:D16"/>
    <mergeCell ref="B7:B16"/>
    <mergeCell ref="C22:D22"/>
    <mergeCell ref="C23:D23"/>
    <mergeCell ref="C2:D2"/>
    <mergeCell ref="C3:D3"/>
    <mergeCell ref="C9:C10"/>
    <mergeCell ref="C11:C12"/>
    <mergeCell ref="D56:D57"/>
    <mergeCell ref="C20:D20"/>
    <mergeCell ref="C18:D18"/>
    <mergeCell ref="C19:D19"/>
    <mergeCell ref="A54:N54"/>
    <mergeCell ref="A55:C58"/>
    <mergeCell ref="A33:A53"/>
    <mergeCell ref="B33:B42"/>
    <mergeCell ref="K33:M42"/>
    <mergeCell ref="C35:C38"/>
    <mergeCell ref="J35:J38"/>
    <mergeCell ref="C39:C42"/>
    <mergeCell ref="A3:A5"/>
    <mergeCell ref="B3:B5"/>
    <mergeCell ref="C4:D4"/>
    <mergeCell ref="C5:D5"/>
    <mergeCell ref="C7:C8"/>
    <mergeCell ref="A25:A32"/>
    <mergeCell ref="B28:D28"/>
    <mergeCell ref="B29:B31"/>
    <mergeCell ref="C29:D29"/>
    <mergeCell ref="C31:D31"/>
    <mergeCell ref="B32:D32"/>
    <mergeCell ref="C26:D26"/>
    <mergeCell ref="C27:D27"/>
    <mergeCell ref="C30:D30"/>
    <mergeCell ref="J49:J52"/>
    <mergeCell ref="B53:D53"/>
    <mergeCell ref="B25:B27"/>
    <mergeCell ref="C25:D25"/>
    <mergeCell ref="J25:M27"/>
    <mergeCell ref="J29:M31"/>
    <mergeCell ref="C33:C34"/>
    <mergeCell ref="J39:J42"/>
    <mergeCell ref="B44:B52"/>
    <mergeCell ref="C44:D44"/>
    <mergeCell ref="K44:M52"/>
    <mergeCell ref="C45:C48"/>
    <mergeCell ref="J45:J48"/>
    <mergeCell ref="C49:C52"/>
    <mergeCell ref="J33:J34"/>
  </mergeCells>
  <pageMargins left="0.11811023622047245" right="0.15748031496062992" top="0.31496062992125984" bottom="0.35433070866141736" header="0.31496062992125984" footer="0.31496062992125984"/>
  <ignoredErrors>
    <ignoredError numberStoredAsText="1" sqref="A1:N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104"/>
  <sheetViews>
    <sheetView workbookViewId="0" rightToLeft="1"/>
  </sheetViews>
  <sheetData>
    <row r="1">
      <c r="A1" t="str">
        <v>عدد المعلمين</v>
      </c>
      <c r="B1" t="str">
        <v>بيانات  المعلمين ( جميع المراحل 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>م</v>
      </c>
      <c r="C3" t="str">
        <v>اسم الموظف رباعي</v>
      </c>
      <c r="D3" t="str">
        <v>رقم الهوية</v>
      </c>
      <c r="E3" t="str">
        <v>الجنسية</v>
      </c>
      <c r="F3" t="str">
        <v>رقم الجوال</v>
      </c>
      <c r="G3" t="str">
        <v>الإيميل</v>
      </c>
      <c r="H3" t="str">
        <v>المؤهل</v>
      </c>
      <c r="I3" t="str">
        <v>التخصص</v>
      </c>
      <c r="J3" t="str">
        <v>مادة التدريس</v>
      </c>
      <c r="K3" t="str">
        <v xml:space="preserve">المرحلة </v>
      </c>
      <c r="L3" t="str">
        <v>نصاب المعلم</v>
      </c>
      <c r="M3" t="str">
        <v>الرخصة المهنية</v>
      </c>
      <c r="N3" t="str">
        <v>كلاسيرا</v>
      </c>
      <c r="O3" t="str">
        <v>ملاحظات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>
        <v>1</v>
      </c>
      <c r="B4">
        <v>122</v>
      </c>
      <c r="C4" t="str">
        <v>محمود محمد عبدالحسيب</v>
      </c>
      <c r="D4">
        <v>2422265567</v>
      </c>
      <c r="E4" t="str">
        <v>مصري</v>
      </c>
      <c r="F4">
        <v>560294799</v>
      </c>
      <c r="G4" t="str">
        <v>M.Abdelhaseeb@altanmiyah.edu.sa</v>
      </c>
      <c r="H4" t="str">
        <v>ليسانس اداب</v>
      </c>
      <c r="I4" t="str">
        <v>لغة عربية</v>
      </c>
      <c r="J4" t="str">
        <v>معلم صف</v>
      </c>
      <c r="K4" t="str">
        <v>ابتدائي</v>
      </c>
      <c r="L4">
        <v>24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>
        <v>2</v>
      </c>
      <c r="B5">
        <v>70</v>
      </c>
      <c r="C5" t="str">
        <v>العفيفي عبدالجواد محمد</v>
      </c>
      <c r="D5">
        <v>2296977628</v>
      </c>
      <c r="E5" t="str">
        <v>مصري</v>
      </c>
      <c r="F5">
        <v>567704204</v>
      </c>
      <c r="G5" t="str">
        <v>70@altanmiyah.edu.sa</v>
      </c>
      <c r="H5" t="str">
        <v>ليسانس ازهر</v>
      </c>
      <c r="I5" t="str">
        <v>أصول دين ودعوة</v>
      </c>
      <c r="J5" t="str">
        <v>معلم صف</v>
      </c>
      <c r="K5" t="str">
        <v>ابتدائي</v>
      </c>
      <c r="L5">
        <v>24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ممارس</v>
      </c>
    </row>
    <row r="6">
      <c r="A6">
        <v>3</v>
      </c>
      <c r="B6">
        <v>68</v>
      </c>
      <c r="C6" t="str">
        <v>حسن عزالدين حسن مبروك</v>
      </c>
      <c r="D6">
        <v>2295722868</v>
      </c>
      <c r="E6" t="str">
        <v>مصري</v>
      </c>
      <c r="F6">
        <v>597772798</v>
      </c>
      <c r="G6" t="str">
        <v>H.Mabrouk@altanmiyah.edu.sa</v>
      </c>
      <c r="H6" t="str">
        <v>ليسانس اداب وتربية</v>
      </c>
      <c r="I6" t="str">
        <v xml:space="preserve"> لغة عربية</v>
      </c>
      <c r="J6" t="str">
        <v>معلم صف</v>
      </c>
      <c r="K6" t="str">
        <v>ابتدائي</v>
      </c>
      <c r="L6">
        <v>24</v>
      </c>
      <c r="M6">
        <v>1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متقدم</v>
      </c>
    </row>
    <row r="7">
      <c r="A7">
        <v>4</v>
      </c>
      <c r="B7">
        <v>3067</v>
      </c>
      <c r="C7" t="str">
        <v>محمد ابراهيم عبد اللطيف السيد</v>
      </c>
      <c r="D7">
        <v>2555223862</v>
      </c>
      <c r="E7" t="str">
        <v>مصري</v>
      </c>
      <c r="F7">
        <v>501456751</v>
      </c>
      <c r="G7" t="str">
        <v>3067@altanmiyah.edu.sa</v>
      </c>
      <c r="H7" t="str">
        <v>ليسانس اداب وتربية</v>
      </c>
      <c r="I7" t="str">
        <v xml:space="preserve"> لغة عربية</v>
      </c>
      <c r="J7" t="str">
        <v xml:space="preserve"> لغة عربية</v>
      </c>
      <c r="K7" t="str">
        <v>ابتدائي</v>
      </c>
      <c r="L7">
        <v>24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خبير</v>
      </c>
    </row>
    <row r="8">
      <c r="A8">
        <v>5</v>
      </c>
      <c r="B8">
        <v>111</v>
      </c>
      <c r="C8" t="str">
        <v>عبدالعزيز محمود يونس</v>
      </c>
      <c r="D8">
        <v>2314377397</v>
      </c>
      <c r="E8" t="str">
        <v>مصري</v>
      </c>
      <c r="F8">
        <v>598811372</v>
      </c>
      <c r="G8" t="str">
        <v>A.Younis@altanmiyah.edu.sa</v>
      </c>
      <c r="H8" t="str">
        <v>ليسانس ازهر</v>
      </c>
      <c r="I8" t="str">
        <v>شريعة اسلامية</v>
      </c>
      <c r="J8" t="str">
        <v>معلم صف</v>
      </c>
      <c r="K8" t="str">
        <v>ابتدائي</v>
      </c>
      <c r="L8">
        <v>24</v>
      </c>
      <c r="M8">
        <v>0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محترف</v>
      </c>
    </row>
    <row r="9">
      <c r="A9">
        <v>6</v>
      </c>
      <c r="B9">
        <v>28</v>
      </c>
      <c r="C9" t="str">
        <v>محمد السيد كامل الغباشي</v>
      </c>
      <c r="D9">
        <v>2422497111</v>
      </c>
      <c r="E9" t="str">
        <v>مصري</v>
      </c>
      <c r="F9">
        <v>581673532</v>
      </c>
      <c r="G9" t="str">
        <v>M.Alghobashi@altanmiyah.edu.sa</v>
      </c>
      <c r="H9" t="str">
        <v>ليسانس اداب وتربية</v>
      </c>
      <c r="I9" t="str">
        <v xml:space="preserve"> لغة عربية</v>
      </c>
      <c r="J9" t="str">
        <v xml:space="preserve"> لغة عربية</v>
      </c>
      <c r="K9" t="str">
        <v>ابتدائي</v>
      </c>
      <c r="L9">
        <v>25</v>
      </c>
      <c r="M9">
        <v>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>
        <v>7</v>
      </c>
      <c r="B10">
        <v>2608</v>
      </c>
      <c r="C10" t="str">
        <v>سلمان بن حمد الفراج</v>
      </c>
      <c r="D10">
        <v>1103049928</v>
      </c>
      <c r="E10" t="str">
        <v>سعودي</v>
      </c>
      <c r="F10">
        <v>538394028</v>
      </c>
      <c r="G10" t="str">
        <v>S.Alfarraj@altanmiyah.edu.sa</v>
      </c>
      <c r="H10" t="str">
        <v>بكالوريوس</v>
      </c>
      <c r="I10" t="str">
        <v>شريعة اسلامية</v>
      </c>
      <c r="J10" t="str">
        <v xml:space="preserve"> اسلاميات</v>
      </c>
      <c r="K10" t="str">
        <v>ابتدائي</v>
      </c>
      <c r="L10">
        <v>24</v>
      </c>
      <c r="M10">
        <v>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>
        <v>8</v>
      </c>
      <c r="B11">
        <v>44</v>
      </c>
      <c r="C11" t="str">
        <v>أمير ابراهيم جلال عبدالله</v>
      </c>
      <c r="D11">
        <v>2320558105</v>
      </c>
      <c r="E11" t="str">
        <v>مصري</v>
      </c>
      <c r="F11">
        <v>561584133</v>
      </c>
      <c r="G11" t="str">
        <v>ameerjalal@altanmiyah.edu.sa</v>
      </c>
      <c r="H11" t="str">
        <v>بكالوريوس علوم</v>
      </c>
      <c r="I11" t="str">
        <v>رياضيات وحاسب</v>
      </c>
      <c r="J11" t="str">
        <v xml:space="preserve"> مهارات رقمية</v>
      </c>
      <c r="K11" t="str">
        <v>ابتدائي</v>
      </c>
      <c r="L11">
        <v>24</v>
      </c>
      <c r="M11">
        <v>1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>
        <v>9</v>
      </c>
      <c r="B12">
        <v>26</v>
      </c>
      <c r="C12" t="str">
        <v>طارق عبد الظاهر بيومي</v>
      </c>
      <c r="D12">
        <v>2422170593</v>
      </c>
      <c r="E12" t="str">
        <v>مصري</v>
      </c>
      <c r="F12">
        <v>562987348</v>
      </c>
      <c r="G12" t="str">
        <v>T.Ahmed@altanmiyah.edu.sa</v>
      </c>
      <c r="H12" t="str">
        <v>بكالوريوس علوم وتربية</v>
      </c>
      <c r="I12" t="str">
        <v>رياضيات</v>
      </c>
      <c r="J12" t="str">
        <v>رياضيات</v>
      </c>
      <c r="K12" t="str">
        <v>ابتدائي</v>
      </c>
      <c r="L12">
        <v>24</v>
      </c>
      <c r="M12">
        <v>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>
        <v>10</v>
      </c>
      <c r="B13">
        <v>3844</v>
      </c>
      <c r="C13" t="str">
        <v>عمرو محمد عبدالمقصود غراب</v>
      </c>
      <c r="D13">
        <v>2581564552</v>
      </c>
      <c r="E13" t="str">
        <v>مصري</v>
      </c>
      <c r="F13">
        <v>530143943</v>
      </c>
      <c r="G13" t="str">
        <v>3844@altanmiyah.edu.sa</v>
      </c>
      <c r="H13" t="str">
        <v>بكالوريوس علوم وتربية</v>
      </c>
      <c r="I13" t="str">
        <v>رياضيات</v>
      </c>
      <c r="J13" t="str">
        <v>رياضيات</v>
      </c>
      <c r="K13" t="str">
        <v>ابتدائي</v>
      </c>
      <c r="L13">
        <v>24</v>
      </c>
      <c r="M13">
        <v>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>
        <v>11</v>
      </c>
      <c r="B14">
        <v>72</v>
      </c>
      <c r="C14" t="str">
        <v>ربيع عوض عبد الموجود خليفة</v>
      </c>
      <c r="D14">
        <v>2396262137</v>
      </c>
      <c r="E14" t="str">
        <v>مصري</v>
      </c>
      <c r="F14">
        <v>541948873</v>
      </c>
      <c r="G14" t="str">
        <v>72@altanmiyah.edu.sa</v>
      </c>
      <c r="H14" t="str">
        <v>ليسانس اداب وتربية</v>
      </c>
      <c r="I14" t="str">
        <v>لغة انجليزية</v>
      </c>
      <c r="J14" t="str">
        <v>لغة انجليزية</v>
      </c>
      <c r="K14" t="str">
        <v>ابتدائي</v>
      </c>
      <c r="L14">
        <v>24</v>
      </c>
      <c r="M14">
        <v>1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>
        <v>12</v>
      </c>
      <c r="B15">
        <v>27</v>
      </c>
      <c r="C15" t="str">
        <v>رامي محمد يسن معروف  العمري</v>
      </c>
      <c r="D15">
        <v>2422462180</v>
      </c>
      <c r="E15" t="str">
        <v>مصري</v>
      </c>
      <c r="F15">
        <v>562205859</v>
      </c>
      <c r="G15" t="str">
        <v>R.Maarouf@altanmiyah.edu.sa</v>
      </c>
      <c r="H15" t="str">
        <v>بكالوريوس تربية نوعية</v>
      </c>
      <c r="I15" t="str">
        <v>تربية فنية</v>
      </c>
      <c r="J15" t="str">
        <v xml:space="preserve"> تربية فنية</v>
      </c>
      <c r="K15" t="str">
        <v>ابتدائي</v>
      </c>
      <c r="L15">
        <v>24</v>
      </c>
      <c r="M15">
        <v>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>
        <v>13</v>
      </c>
      <c r="B16">
        <v>98</v>
      </c>
      <c r="C16" t="str">
        <v>محمود رضا ابو المكارم وحش</v>
      </c>
      <c r="D16">
        <v>2396261717</v>
      </c>
      <c r="E16" t="str">
        <v>مصري</v>
      </c>
      <c r="F16">
        <v>599536762</v>
      </c>
      <c r="G16" t="str">
        <v>98@altanmiyah.edu.sa</v>
      </c>
      <c r="H16" t="str">
        <v>بكالوريوس تربية رياضية</v>
      </c>
      <c r="I16" t="str">
        <v>تربية رياضية</v>
      </c>
      <c r="J16" t="str">
        <v xml:space="preserve"> تربية بدنية</v>
      </c>
      <c r="K16" t="str">
        <v>ابتدائي</v>
      </c>
      <c r="L16">
        <v>24</v>
      </c>
      <c r="M16">
        <v>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>
        <v>14</v>
      </c>
      <c r="B17">
        <v>3939</v>
      </c>
      <c r="C17" t="str">
        <v>أيمن محمد علي مصباح</v>
      </c>
      <c r="D17">
        <v>2581572480</v>
      </c>
      <c r="E17" t="str">
        <v>مصري</v>
      </c>
      <c r="F17">
        <v>542588417</v>
      </c>
      <c r="G17" t="str">
        <v>3939@altanmiyah.edu.sa</v>
      </c>
      <c r="H17" t="str">
        <v>بكالوريوس علوم وتربية</v>
      </c>
      <c r="I17" t="str">
        <v>علوم وتربية</v>
      </c>
      <c r="J17" t="str">
        <v xml:space="preserve"> علوم</v>
      </c>
      <c r="K17" t="str">
        <v>ابتدائي</v>
      </c>
      <c r="L17">
        <v>24</v>
      </c>
      <c r="M17">
        <v>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>
        <v>15</v>
      </c>
      <c r="B18">
        <v>96</v>
      </c>
      <c r="C18" t="str">
        <v>مصطفى إبراهيم عبدالتواب</v>
      </c>
      <c r="D18">
        <v>2382247068</v>
      </c>
      <c r="E18" t="str">
        <v>مصري</v>
      </c>
      <c r="F18">
        <v>552420543</v>
      </c>
      <c r="G18" t="str">
        <v>m.abdulmawli@altanmiyah.edu.sa</v>
      </c>
      <c r="H18" t="str">
        <v>بكالوريوس علوم وتربية</v>
      </c>
      <c r="I18" t="str">
        <v>علوم</v>
      </c>
      <c r="J18" t="str">
        <v>علوم</v>
      </c>
      <c r="K18" t="str">
        <v>ابتدائي</v>
      </c>
      <c r="L18">
        <v>24</v>
      </c>
      <c r="M18">
        <v>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16</v>
      </c>
      <c r="B19">
        <v>3842</v>
      </c>
      <c r="C19" t="str">
        <v>وليد محمد صالح الصده</v>
      </c>
      <c r="D19">
        <v>2581564362</v>
      </c>
      <c r="E19" t="str">
        <v>مصري</v>
      </c>
      <c r="F19">
        <v>537937126</v>
      </c>
      <c r="G19" t="str">
        <v>3842@altanmiyah.edu.sa</v>
      </c>
      <c r="H19" t="str">
        <v>بكالوريوس</v>
      </c>
      <c r="I19" t="str">
        <v>رياضيات</v>
      </c>
      <c r="J19" t="str">
        <v>رياضيات</v>
      </c>
      <c r="K19" t="str">
        <v>ابتدائي</v>
      </c>
      <c r="L19">
        <v>24</v>
      </c>
      <c r="M19">
        <v>0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17</v>
      </c>
      <c r="B20" t="str">
        <v>3072</v>
      </c>
      <c r="C20" t="str">
        <v>مصطفى فتحى سيد احمد</v>
      </c>
      <c r="D20">
        <v>2555225339</v>
      </c>
      <c r="E20" t="str">
        <v>مصري</v>
      </c>
      <c r="F20">
        <v>570338992</v>
      </c>
      <c r="G20" t="str">
        <v>3072@ALTANMIYAH.EDU.SA</v>
      </c>
      <c r="H20" t="str">
        <v>ليسانس اداب وتربية</v>
      </c>
      <c r="I20" t="str">
        <v>لغة انجليزية</v>
      </c>
      <c r="J20" t="str">
        <v>لغة انجليزية</v>
      </c>
      <c r="K20" t="str">
        <v>ابتدائي</v>
      </c>
      <c r="L20">
        <v>12</v>
      </c>
      <c r="M20">
        <v>1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>
        <v>18</v>
      </c>
      <c r="B21">
        <v>4811</v>
      </c>
      <c r="C21" t="str">
        <v>احمد حسنين عبداللطيف الفراج</v>
      </c>
      <c r="D21">
        <v>2614676217</v>
      </c>
      <c r="E21" t="str">
        <v>مصري</v>
      </c>
      <c r="F21">
        <v>540740832</v>
      </c>
      <c r="G21" t="str">
        <v>4811@altanmiyah.edu.sa</v>
      </c>
      <c r="H21" t="str">
        <v>ليسانس اداب وتربية</v>
      </c>
      <c r="I21" t="str">
        <v>لغة انجليزية</v>
      </c>
      <c r="J21" t="str">
        <v>لغة انجليزية</v>
      </c>
      <c r="K21" t="str">
        <v>ابتدائي</v>
      </c>
      <c r="L21">
        <v>24</v>
      </c>
      <c r="M21">
        <v>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>
        <v>1</v>
      </c>
      <c r="B22">
        <v>3460</v>
      </c>
      <c r="C22" t="str">
        <v>سليمان الصادق الخضر</v>
      </c>
      <c r="D22">
        <v>2163488170</v>
      </c>
      <c r="E22" t="str">
        <v>سوداني</v>
      </c>
      <c r="F22">
        <v>567326335</v>
      </c>
      <c r="G22" t="str">
        <v>3460@altanmiyah.edu.sa</v>
      </c>
      <c r="H22" t="str">
        <v>ليسانس اداب وتربية</v>
      </c>
      <c r="I22" t="str">
        <v>لغة انجليزية</v>
      </c>
      <c r="J22" t="str">
        <v>لغة انجليزية</v>
      </c>
      <c r="K22" t="str">
        <v>متوسط</v>
      </c>
      <c r="L22">
        <v>24</v>
      </c>
      <c r="M22">
        <v>0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>
        <v>2</v>
      </c>
      <c r="B23">
        <v>3958</v>
      </c>
      <c r="C23" t="str">
        <v>أحمد محمد الصوفي أحمد</v>
      </c>
      <c r="D23" t="str">
        <v>جديد</v>
      </c>
      <c r="E23" t="str">
        <v>مصري</v>
      </c>
      <c r="F23">
        <v>500520431</v>
      </c>
      <c r="G23" t="str">
        <v>3958@altanmiyah.edu.sa</v>
      </c>
      <c r="H23" t="str">
        <v>ليسانس اداب وتربية</v>
      </c>
      <c r="I23" t="str">
        <v xml:space="preserve"> لغة عربية</v>
      </c>
      <c r="J23" t="str">
        <v xml:space="preserve"> لغة عربية</v>
      </c>
      <c r="K23" t="str">
        <v>متوسط</v>
      </c>
      <c r="L23">
        <v>26</v>
      </c>
      <c r="M23">
        <v>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>
        <v>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>
        <v>4</v>
      </c>
      <c r="B25">
        <v>81</v>
      </c>
      <c r="C25" t="str">
        <v>حسن محمد حسن السيد</v>
      </c>
      <c r="D25">
        <v>2382315600</v>
      </c>
      <c r="E25" t="str">
        <v>مصري</v>
      </c>
      <c r="F25">
        <v>541567650</v>
      </c>
      <c r="G25" t="str">
        <v>H.Alsayed@altanmiyah.edu.sa</v>
      </c>
      <c r="H25" t="str">
        <v>بكالوريوس علوم وتربية</v>
      </c>
      <c r="I25" t="str">
        <v>رياضيات</v>
      </c>
      <c r="J25" t="str">
        <v>رياضيات</v>
      </c>
      <c r="K25" t="str">
        <v>متوسط</v>
      </c>
      <c r="L25">
        <v>30</v>
      </c>
      <c r="M25">
        <v>1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>
        <v>5</v>
      </c>
      <c r="B26">
        <v>151</v>
      </c>
      <c r="C26" t="str">
        <v>محمد محمود العشماوى متولى</v>
      </c>
      <c r="D26">
        <v>2312390996</v>
      </c>
      <c r="E26" t="str">
        <v>مصري</v>
      </c>
      <c r="F26">
        <v>597274959</v>
      </c>
      <c r="G26" t="str">
        <v/>
      </c>
      <c r="H26" t="str">
        <v>بكالوريوس علوم وتربية</v>
      </c>
      <c r="I26" t="str">
        <v>علم ارض</v>
      </c>
      <c r="J26" t="str">
        <v>علوم</v>
      </c>
      <c r="K26" t="str">
        <v>متوسط</v>
      </c>
      <c r="L26">
        <v>27</v>
      </c>
      <c r="M26">
        <v>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>
        <v>6</v>
      </c>
      <c r="B27">
        <v>76</v>
      </c>
      <c r="C27" t="str">
        <v>ماهر مساعد سعد الحربي</v>
      </c>
      <c r="D27">
        <v>1106119926</v>
      </c>
      <c r="E27" t="str">
        <v>سعودي</v>
      </c>
      <c r="F27">
        <v>559012194</v>
      </c>
      <c r="G27" t="str">
        <v>76@altanmiyah.edu.sa</v>
      </c>
      <c r="H27" t="str">
        <v>بكالوريوس</v>
      </c>
      <c r="I27" t="str">
        <v>رياضيات</v>
      </c>
      <c r="J27" t="str">
        <v>رياضيات</v>
      </c>
      <c r="K27" t="str">
        <v>متوسط</v>
      </c>
      <c r="L27">
        <v>24</v>
      </c>
      <c r="M27">
        <v>1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>
        <v>7</v>
      </c>
      <c r="B28">
        <v>3070</v>
      </c>
      <c r="C28" t="str">
        <v>فارس مصباح علي عبدالرحمن</v>
      </c>
      <c r="D28">
        <v>2555220850</v>
      </c>
      <c r="E28" t="str">
        <v>مصري</v>
      </c>
      <c r="F28">
        <v>553871702</v>
      </c>
      <c r="G28" t="str">
        <v>3070@altanmiyah.edu.sa</v>
      </c>
      <c r="H28" t="str">
        <v>بكالوريوس علوم وتربية</v>
      </c>
      <c r="I28" t="str">
        <v>كيمياء</v>
      </c>
      <c r="J28" t="str">
        <v>كيمياء</v>
      </c>
      <c r="K28" t="str">
        <v>متوسط</v>
      </c>
      <c r="L28">
        <v>24</v>
      </c>
      <c r="M28">
        <v>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>
        <v>8</v>
      </c>
      <c r="B29">
        <v>69</v>
      </c>
      <c r="C29" t="str">
        <v>محمد محمد سمير الدالي</v>
      </c>
      <c r="D29">
        <v>2312390483</v>
      </c>
      <c r="E29" t="str">
        <v>مصري</v>
      </c>
      <c r="F29">
        <v>559462197</v>
      </c>
      <c r="G29" t="str">
        <v>M.Samir@altanmiyah.edu.sa</v>
      </c>
      <c r="H29" t="str">
        <v>ليسانس اداب وتربية</v>
      </c>
      <c r="I29" t="str">
        <v>لغة عربية</v>
      </c>
      <c r="J29" t="str">
        <v>لغة عربية</v>
      </c>
      <c r="K29" t="str">
        <v>متوسط</v>
      </c>
      <c r="L29">
        <v>27</v>
      </c>
      <c r="M29">
        <v>1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>
        <v>9</v>
      </c>
      <c r="B30">
        <v>33</v>
      </c>
      <c r="C30" t="str">
        <v>محمود صابر محمود سعيد</v>
      </c>
      <c r="D30">
        <v>2265322129</v>
      </c>
      <c r="E30" t="str">
        <v>مصري</v>
      </c>
      <c r="F30">
        <v>559462197</v>
      </c>
      <c r="G30" t="str">
        <v>M.Saber@altanmiyah.edu.sa</v>
      </c>
      <c r="H30" t="str">
        <v>بكالوريوس تربية نوعية</v>
      </c>
      <c r="I30" t="str">
        <v>تربية نوعية</v>
      </c>
      <c r="J30" t="str">
        <v xml:space="preserve"> تربية فنية</v>
      </c>
      <c r="K30" t="str">
        <v>متوسط</v>
      </c>
      <c r="L30">
        <v>27</v>
      </c>
      <c r="M30">
        <v>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>
        <v>10</v>
      </c>
      <c r="B31">
        <v>3843</v>
      </c>
      <c r="C31" t="str">
        <v>محمود جمعة مصري</v>
      </c>
      <c r="D31">
        <v>2581557127</v>
      </c>
      <c r="E31" t="str">
        <v>مصري</v>
      </c>
      <c r="F31">
        <v>561332454</v>
      </c>
      <c r="G31" t="str">
        <v>3843@altanmiyah.edu.sa</v>
      </c>
      <c r="H31" t="str">
        <v>بكالوريوس تربية نوعية</v>
      </c>
      <c r="I31" t="str">
        <v>تكنولجيا معلومات</v>
      </c>
      <c r="J31" t="str">
        <v xml:space="preserve"> مهارات رقمية</v>
      </c>
      <c r="K31" t="str">
        <v>متوسط</v>
      </c>
      <c r="L31">
        <v>25</v>
      </c>
      <c r="M31">
        <v>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>
        <v>11</v>
      </c>
      <c r="B32">
        <v>3079</v>
      </c>
      <c r="C32" t="str">
        <v>محمد سيد عبدالجواد عبدالله</v>
      </c>
      <c r="D32">
        <v>2554811279</v>
      </c>
      <c r="E32" t="str">
        <v>مصري</v>
      </c>
      <c r="F32">
        <v>557940130</v>
      </c>
      <c r="G32" t="str">
        <v>3079@altanmiyah.edu.sa</v>
      </c>
      <c r="H32" t="str">
        <v>ليسانس اداب وتربية</v>
      </c>
      <c r="I32" t="str">
        <v>لغة انجليزية</v>
      </c>
      <c r="J32" t="str">
        <v>لغة انجليزية</v>
      </c>
      <c r="K32" t="str">
        <v>متوسط</v>
      </c>
      <c r="L32">
        <v>24</v>
      </c>
      <c r="M32">
        <v>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>
        <v>12</v>
      </c>
      <c r="B33" t="str">
        <v/>
      </c>
      <c r="C33" t="str">
        <v>صقر</v>
      </c>
      <c r="D33" t="str">
        <v/>
      </c>
      <c r="E33" t="str">
        <v>سعودي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متوسط</v>
      </c>
      <c r="L33">
        <v>24</v>
      </c>
      <c r="M33">
        <v>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>
        <v>13</v>
      </c>
      <c r="B34">
        <v>57</v>
      </c>
      <c r="C34" t="str">
        <v>حسين علي محمد عبدالحميد</v>
      </c>
      <c r="D34">
        <v>2459416059</v>
      </c>
      <c r="E34" t="str">
        <v>مصري</v>
      </c>
      <c r="F34">
        <v>590775476</v>
      </c>
      <c r="G34" t="str">
        <v>H.Awaida@altanmiyah.edu.sa</v>
      </c>
      <c r="H34" t="str">
        <v>بكالوريوس تربية رياضية</v>
      </c>
      <c r="I34" t="str">
        <v>تربية رياضية</v>
      </c>
      <c r="J34" t="str">
        <v>بدنية</v>
      </c>
      <c r="K34" t="str">
        <v>متوسط</v>
      </c>
      <c r="L34">
        <v>13</v>
      </c>
      <c r="M34">
        <v>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>
        <v>1</v>
      </c>
      <c r="B35">
        <v>160</v>
      </c>
      <c r="C35" t="str">
        <v>سلمان محمد عبدالرحمن سالمان</v>
      </c>
      <c r="D35">
        <v>2442472367</v>
      </c>
      <c r="E35" t="str">
        <v>مصري</v>
      </c>
      <c r="F35">
        <v>545793386</v>
      </c>
      <c r="G35" t="str">
        <v>S.Salman@altanmiyah.edu.sa</v>
      </c>
      <c r="H35" t="str">
        <v>بكالوريوس علوم وتربية</v>
      </c>
      <c r="I35" t="str">
        <v>فيزياء وكيمياء</v>
      </c>
      <c r="J35" t="str">
        <v>فيزياء</v>
      </c>
      <c r="K35" t="str">
        <v>ثانوي</v>
      </c>
      <c r="L35">
        <v>28</v>
      </c>
      <c r="M35">
        <v>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>
        <v>2</v>
      </c>
      <c r="B36">
        <v>158</v>
      </c>
      <c r="C36" t="str">
        <v>أحمد طاهر عبد المعطي بهيدي</v>
      </c>
      <c r="D36">
        <v>2422266318</v>
      </c>
      <c r="E36" t="str">
        <v>مصري</v>
      </c>
      <c r="F36">
        <v>560288340</v>
      </c>
      <c r="G36" t="str">
        <v>A.Bahidi@altanmiyah.edu.sa</v>
      </c>
      <c r="H36" t="str">
        <v>بكالوريوس علوم وتربية</v>
      </c>
      <c r="I36" t="str">
        <v>فيزياء وكيمياء</v>
      </c>
      <c r="J36" t="str">
        <v>كيمياء</v>
      </c>
      <c r="K36" t="str">
        <v>ثانوي</v>
      </c>
      <c r="L36">
        <v>27</v>
      </c>
      <c r="M36">
        <v>1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>
        <v>3</v>
      </c>
      <c r="B37">
        <v>3069</v>
      </c>
      <c r="C37" t="str">
        <v>محمد على سالم سليم</v>
      </c>
      <c r="D37">
        <v>2555224332</v>
      </c>
      <c r="E37" t="str">
        <v>مصري</v>
      </c>
      <c r="F37">
        <v>560288340</v>
      </c>
      <c r="G37" t="str">
        <v>3069@altanmiyah.edu.sa</v>
      </c>
      <c r="H37" t="str">
        <v>بكالوريوس علوم وتربية</v>
      </c>
      <c r="I37" t="str">
        <v>رياضيات</v>
      </c>
      <c r="J37" t="str">
        <v>رياضيات</v>
      </c>
      <c r="K37" t="str">
        <v>ثانوي</v>
      </c>
      <c r="L37">
        <v>28</v>
      </c>
      <c r="M37">
        <v>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>
        <v>4</v>
      </c>
      <c r="B38">
        <v>3577</v>
      </c>
      <c r="C38" t="str">
        <v>عبدالعزيز صالح محمد الربيعان</v>
      </c>
      <c r="D38">
        <v>1100905122</v>
      </c>
      <c r="E38" t="str">
        <v>سعودي</v>
      </c>
      <c r="F38">
        <v>554808786</v>
      </c>
      <c r="G38" t="str">
        <v>3577@altanmiyah.edu.sa</v>
      </c>
      <c r="H38" t="str">
        <v>بكالوريوس</v>
      </c>
      <c r="I38" t="str">
        <v xml:space="preserve">لغه عربيه </v>
      </c>
      <c r="J38" t="str">
        <v>اجتماعيات</v>
      </c>
      <c r="K38" t="str">
        <v>ثانوي</v>
      </c>
      <c r="L38">
        <v>24</v>
      </c>
      <c r="M38">
        <v>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>
        <v>5</v>
      </c>
      <c r="B39" t="str">
        <v/>
      </c>
      <c r="C39" t="str">
        <v>ريان</v>
      </c>
      <c r="D39" t="str">
        <v/>
      </c>
      <c r="E39" t="str">
        <v>سعودي</v>
      </c>
      <c r="F39" t="str">
        <v/>
      </c>
      <c r="G39" t="str">
        <v/>
      </c>
      <c r="H39" t="str">
        <v/>
      </c>
      <c r="I39" t="str">
        <v/>
      </c>
      <c r="J39" t="str">
        <v>اسلاميات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>
        <v>6</v>
      </c>
      <c r="B40" t="str">
        <v/>
      </c>
      <c r="C40" t="str">
        <v>إبراهيم شبكة</v>
      </c>
      <c r="D40">
        <v>2107240462</v>
      </c>
      <c r="E40" t="str">
        <v>مصري</v>
      </c>
      <c r="F40">
        <v>508901528</v>
      </c>
      <c r="G40" t="str">
        <v>i.shabka@altanmiyah.edu.sa</v>
      </c>
      <c r="H40" t="str">
        <v>ليسانس اداب وتربية</v>
      </c>
      <c r="I40" t="str">
        <v>لغة انجليزية</v>
      </c>
      <c r="J40" t="str">
        <v>لغة انجليزية</v>
      </c>
      <c r="K40" t="str">
        <v>ثانوي</v>
      </c>
      <c r="L40">
        <v>24</v>
      </c>
      <c r="M40">
        <v>0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>
        <v>7</v>
      </c>
      <c r="B41">
        <v>667</v>
      </c>
      <c r="C41" t="str">
        <v>حسن جوده حسن محمد</v>
      </c>
      <c r="D41">
        <v>24441761695</v>
      </c>
      <c r="E41" t="str">
        <v>مصري</v>
      </c>
      <c r="F41">
        <v>592141776</v>
      </c>
      <c r="G41" t="str">
        <v>h.joudah@altanmiyah.edu.sa</v>
      </c>
      <c r="H41" t="str">
        <v>بكالوريوس علوم وتربية</v>
      </c>
      <c r="I41" t="str">
        <v>فيزياء وكيمياء</v>
      </c>
      <c r="J41" t="str">
        <v>فيزياء</v>
      </c>
      <c r="K41" t="str">
        <v>ثانوي</v>
      </c>
      <c r="L41">
        <v>24</v>
      </c>
      <c r="M41">
        <v>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>
        <v>8</v>
      </c>
      <c r="B42">
        <v>4734</v>
      </c>
      <c r="C42" t="str">
        <v>احمد إمحمد براهيم السيد سالم</v>
      </c>
      <c r="D42">
        <v>2614670624</v>
      </c>
      <c r="E42" t="str">
        <v>مصري</v>
      </c>
      <c r="F42">
        <v>551921047</v>
      </c>
      <c r="G42" t="str">
        <v>4734@altanmiyah.edu.sa</v>
      </c>
      <c r="H42" t="str">
        <v>بكالوريوس علوم وتربية</v>
      </c>
      <c r="I42" t="str">
        <v>رياضيات</v>
      </c>
      <c r="J42" t="str">
        <v>رياضيات</v>
      </c>
      <c r="K42" t="str">
        <v>ثانوي</v>
      </c>
      <c r="L42">
        <v>24</v>
      </c>
      <c r="M42">
        <v>0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>
        <v>9</v>
      </c>
      <c r="B43">
        <v>164</v>
      </c>
      <c r="C43" t="str">
        <v>حسن أحمد أبوغنيمه أحمد</v>
      </c>
      <c r="D43">
        <v>2442117442</v>
      </c>
      <c r="E43" t="str">
        <v>مصري</v>
      </c>
      <c r="F43">
        <v>544804894</v>
      </c>
      <c r="G43" t="str">
        <v>H.Abughanima@altanmiyah.edu.sa</v>
      </c>
      <c r="H43" t="str">
        <v>بكالوريوس</v>
      </c>
      <c r="I43" t="str">
        <v>احياء</v>
      </c>
      <c r="J43" t="str">
        <v>احياء</v>
      </c>
      <c r="K43" t="str">
        <v>ثانوي</v>
      </c>
      <c r="L43">
        <v>20</v>
      </c>
      <c r="M43">
        <v>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>
        <v>10</v>
      </c>
      <c r="B44">
        <v>3105</v>
      </c>
      <c r="C44" t="str">
        <v>هشام حمدى رسمى عزب</v>
      </c>
      <c r="D44">
        <v>2555219555</v>
      </c>
      <c r="E44" t="str">
        <v>مصري</v>
      </c>
      <c r="F44">
        <v>511525182</v>
      </c>
      <c r="G44" t="str">
        <v>3105@altanmiyah.edu.sa</v>
      </c>
      <c r="H44" t="str">
        <v>ليسانس اداب وتربية</v>
      </c>
      <c r="I44" t="str">
        <v>لغة عربية</v>
      </c>
      <c r="J44" t="str">
        <v>لغة عربية</v>
      </c>
      <c r="K44" t="str">
        <v>ثانوي</v>
      </c>
      <c r="L44">
        <v>27</v>
      </c>
      <c r="M44">
        <v>1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>
        <v>11</v>
      </c>
      <c r="B45">
        <v>137</v>
      </c>
      <c r="C45" t="str">
        <v>محمد صلاح احمد نصر</v>
      </c>
      <c r="D45">
        <v>2422261525</v>
      </c>
      <c r="E45" t="str">
        <v>مصري</v>
      </c>
      <c r="F45">
        <v>548480212</v>
      </c>
      <c r="G45" t="str">
        <v>M.Nasr@altanmiyah.edu.sa</v>
      </c>
      <c r="H45" t="str">
        <v>بكالوريوس تربية رياضية</v>
      </c>
      <c r="I45" t="str">
        <v>تربيه رياضه</v>
      </c>
      <c r="J45" t="str">
        <v>بدنية</v>
      </c>
      <c r="K45" t="str">
        <v>ثانوي</v>
      </c>
      <c r="L45">
        <v>28</v>
      </c>
      <c r="M45">
        <v>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>
        <v>12</v>
      </c>
      <c r="B46">
        <v>95</v>
      </c>
      <c r="C46" t="str">
        <v>أحمد محمد مصباح عبعوب</v>
      </c>
      <c r="D46">
        <v>2350964611</v>
      </c>
      <c r="E46" t="str">
        <v>مصري</v>
      </c>
      <c r="F46">
        <v>599931920</v>
      </c>
      <c r="G46" t="str">
        <v>A.Mesbah@altanmiyah.edu.sa</v>
      </c>
      <c r="H46" t="str">
        <v>بكالوريوس علوم وتربية</v>
      </c>
      <c r="I46" t="str">
        <v xml:space="preserve">كيمياء خاصه </v>
      </c>
      <c r="J46" t="str">
        <v>كيمياء</v>
      </c>
      <c r="K46" t="str">
        <v>ثانوي</v>
      </c>
      <c r="L46">
        <v>25</v>
      </c>
      <c r="M46">
        <v>1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>
        <v>13</v>
      </c>
      <c r="B47">
        <v>29</v>
      </c>
      <c r="C47" t="str">
        <v>حسن علي ذياب الخطيب</v>
      </c>
      <c r="D47">
        <v>2295913624</v>
      </c>
      <c r="E47" t="str">
        <v xml:space="preserve">اردني </v>
      </c>
      <c r="F47">
        <v>2295913624</v>
      </c>
      <c r="G47" t="str">
        <v>H.Alkhatib@altanmiyah.edu.sa</v>
      </c>
      <c r="H47" t="str">
        <v>ليسانس اداب</v>
      </c>
      <c r="I47" t="str">
        <v xml:space="preserve"> لغة عربية</v>
      </c>
      <c r="J47" t="str">
        <v xml:space="preserve"> لغة عربية</v>
      </c>
      <c r="K47" t="str">
        <v>ثانوي</v>
      </c>
      <c r="L47">
        <v>24</v>
      </c>
      <c r="M47">
        <v>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>
        <v>14</v>
      </c>
      <c r="B48">
        <v>3890</v>
      </c>
      <c r="C48" t="str">
        <v>مصطفى محمد عبدالغنى ادودار</v>
      </c>
      <c r="D48">
        <v>2581567183</v>
      </c>
      <c r="E48" t="str">
        <v>مصري</v>
      </c>
      <c r="F48">
        <v>575331681</v>
      </c>
      <c r="G48" t="str">
        <v>3890@altanmiyah.edu.sa</v>
      </c>
      <c r="H48" t="str">
        <v>ليسانس اداب وتربية</v>
      </c>
      <c r="I48" t="str">
        <v>لغة انجليزية</v>
      </c>
      <c r="J48" t="str">
        <v>لغة انجليزية</v>
      </c>
      <c r="K48" t="str">
        <v>ثانوي</v>
      </c>
      <c r="L48">
        <v>26</v>
      </c>
      <c r="M48">
        <v>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>
        <v>15</v>
      </c>
      <c r="B49">
        <v>3100</v>
      </c>
      <c r="C49" t="str">
        <v>محمد عبد المنعم إبراهيم أحمد</v>
      </c>
      <c r="D49">
        <v>2555873526</v>
      </c>
      <c r="E49" t="str">
        <v>مصري</v>
      </c>
      <c r="F49">
        <v>535716468</v>
      </c>
      <c r="G49" t="str">
        <v>3100@altanmiyah.edu.sa</v>
      </c>
      <c r="H49" t="str">
        <v>بكالوريوس علوم وتربية</v>
      </c>
      <c r="I49" t="str">
        <v>احياء</v>
      </c>
      <c r="J49" t="str">
        <v>احياء</v>
      </c>
      <c r="K49" t="str">
        <v>ثانوي</v>
      </c>
      <c r="L49">
        <v>27</v>
      </c>
      <c r="M49">
        <v>0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>
        <v>16</v>
      </c>
      <c r="B50">
        <v>4716</v>
      </c>
      <c r="C50" t="str">
        <v>احمد نصر الجنيدى رزق</v>
      </c>
      <c r="D50">
        <v>2614676555</v>
      </c>
      <c r="E50" t="str">
        <v>مصري</v>
      </c>
      <c r="F50">
        <v>568871490</v>
      </c>
      <c r="G50" t="str">
        <v>4716@altanmiyah.edu.sa</v>
      </c>
      <c r="H50" t="str">
        <v>ليسانس اداب وتربية</v>
      </c>
      <c r="I50" t="str">
        <v>لغة عربية</v>
      </c>
      <c r="J50" t="str">
        <v>لغة عربية</v>
      </c>
      <c r="K50" t="str">
        <v>ثانوي</v>
      </c>
      <c r="L50">
        <v>24</v>
      </c>
      <c r="M50">
        <v>0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>
        <v>17</v>
      </c>
      <c r="B51">
        <v>168</v>
      </c>
      <c r="C51" t="str">
        <v>حسام السيد محمد عوض</v>
      </c>
      <c r="D51">
        <v>2479842896</v>
      </c>
      <c r="E51" t="str">
        <v>مصري</v>
      </c>
      <c r="F51">
        <v>560816095</v>
      </c>
      <c r="G51" t="str">
        <v>Hossam.Ali@altanmiyah.edu.sa</v>
      </c>
      <c r="H51" t="str">
        <v>بكالوريوس علوم وتربية</v>
      </c>
      <c r="I51" t="str">
        <v>رياضيات</v>
      </c>
      <c r="J51" t="str">
        <v>رياضيات</v>
      </c>
      <c r="K51" t="str">
        <v>ثانوي</v>
      </c>
      <c r="L51">
        <v>28</v>
      </c>
      <c r="M51">
        <v>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>
        <v>18</v>
      </c>
      <c r="B52">
        <v>3846</v>
      </c>
      <c r="C52" t="str">
        <v xml:space="preserve">محمد مدحت حلمي حسن </v>
      </c>
      <c r="D52">
        <v>2581559974</v>
      </c>
      <c r="E52" t="str">
        <v>مصري</v>
      </c>
      <c r="F52">
        <v>575953826</v>
      </c>
      <c r="G52" t="str">
        <v>3846@altanmiyah.edu.sa</v>
      </c>
      <c r="H52" t="str">
        <v>بكالوريوس تربية نوعية</v>
      </c>
      <c r="I52" t="str">
        <v xml:space="preserve">حاسب الي </v>
      </c>
      <c r="J52" t="str">
        <v xml:space="preserve"> مهارات رقمية</v>
      </c>
      <c r="K52" t="str">
        <v>ثانوي</v>
      </c>
      <c r="L52">
        <v>24</v>
      </c>
      <c r="M52">
        <v>0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>
        <v>19</v>
      </c>
      <c r="B53">
        <v>41</v>
      </c>
      <c r="C53" t="str">
        <v>عبدالرحمن عبدالغني بدوي شطا</v>
      </c>
      <c r="D53">
        <v>2283207625</v>
      </c>
      <c r="E53" t="str">
        <v>مصري</v>
      </c>
      <c r="F53">
        <v>596946521</v>
      </c>
      <c r="G53" t="str">
        <v xml:space="preserve"> a.shata@altanmiyah.edu.sa</v>
      </c>
      <c r="H53" t="str">
        <v>ليسانس اداب وتربية</v>
      </c>
      <c r="I53" t="str">
        <v>لغة انجليزية</v>
      </c>
      <c r="J53" t="str">
        <v>لغة انجليزية</v>
      </c>
      <c r="K53" t="str">
        <v>ثانوي</v>
      </c>
      <c r="L53">
        <v>25</v>
      </c>
      <c r="M53">
        <v>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>
        <v>20</v>
      </c>
      <c r="B54">
        <v>83</v>
      </c>
      <c r="C54" t="str">
        <v>خالد سعد سعود المطيري</v>
      </c>
      <c r="D54">
        <v>1077677175</v>
      </c>
      <c r="E54" t="str">
        <v>سعودي</v>
      </c>
      <c r="F54">
        <v>599979305</v>
      </c>
      <c r="G54" t="str">
        <v>Khaled.Almutairi@altanmiyah.edu.sa</v>
      </c>
      <c r="H54" t="str">
        <v>بكالوريوس دين</v>
      </c>
      <c r="I54" t="str">
        <v>اصول دين</v>
      </c>
      <c r="J54" t="str">
        <v>اسلاميات</v>
      </c>
      <c r="K54" t="str">
        <v>ثانوي</v>
      </c>
      <c r="L54">
        <v>27</v>
      </c>
      <c r="M54">
        <v>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>
        <v>21</v>
      </c>
      <c r="B55">
        <v>47</v>
      </c>
      <c r="C55" t="str">
        <v>أحمد محمد  توفيق سالم</v>
      </c>
      <c r="D55">
        <v>2405280336</v>
      </c>
      <c r="E55" t="str">
        <v>مصري</v>
      </c>
      <c r="F55">
        <v>542634736</v>
      </c>
      <c r="G55" t="str">
        <v>a.salem@altanmiyah.edu.sa</v>
      </c>
      <c r="H55" t="str">
        <v>بكالوريوس تربية نوعية</v>
      </c>
      <c r="I55" t="str">
        <v xml:space="preserve">حاسب الي </v>
      </c>
      <c r="J55" t="str">
        <v xml:space="preserve"> مهارات رقمية</v>
      </c>
      <c r="K55" t="str">
        <v>ثانوي</v>
      </c>
      <c r="L55">
        <v>24</v>
      </c>
      <c r="M55">
        <v>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>
        <v>22</v>
      </c>
      <c r="B56">
        <v>4897</v>
      </c>
      <c r="C56" t="str">
        <v xml:space="preserve">عيد فهد عياد هادي العتيبي </v>
      </c>
      <c r="D56">
        <v>1122032756</v>
      </c>
      <c r="E56" t="str">
        <v>سعودي</v>
      </c>
      <c r="F56">
        <v>554756449</v>
      </c>
      <c r="G56" t="str">
        <v>4897@altanmiyah.edu.sa</v>
      </c>
      <c r="H56" t="str">
        <v>بكالوريوس</v>
      </c>
      <c r="I56" t="str">
        <v>علم نفس</v>
      </c>
      <c r="J56" t="str">
        <v>تفكير ناقد</v>
      </c>
      <c r="K56" t="str">
        <v>ثانوي</v>
      </c>
      <c r="L56">
        <v>13</v>
      </c>
      <c r="M56">
        <v>0</v>
      </c>
      <c r="N56" t="str">
        <v/>
      </c>
      <c r="O56" t="str">
        <v>مكمل مراقب دور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>
        <v>23</v>
      </c>
      <c r="B57">
        <v>90</v>
      </c>
      <c r="C57" t="str">
        <v>وسيم عبد ربه عبد ربه خيرالله</v>
      </c>
      <c r="D57">
        <v>2353869387</v>
      </c>
      <c r="E57" t="str">
        <v>مصري</v>
      </c>
      <c r="F57">
        <v>569270288</v>
      </c>
      <c r="G57" t="str">
        <v>W.Khair@altanmiyah.edu.sa</v>
      </c>
      <c r="H57" t="str">
        <v>بكالوريوس علوم وتربية</v>
      </c>
      <c r="I57" t="str">
        <v>رياضيات</v>
      </c>
      <c r="J57" t="str">
        <v>رياضيات</v>
      </c>
      <c r="K57" t="str">
        <v>ثانوي</v>
      </c>
      <c r="L57">
        <v>25</v>
      </c>
      <c r="M57">
        <v>1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>
        <v>24</v>
      </c>
      <c r="B58">
        <v>100</v>
      </c>
      <c r="C58" t="str">
        <v>فريج السعيد كمال محمد</v>
      </c>
      <c r="D58">
        <v>2422266433</v>
      </c>
      <c r="E58" t="str">
        <v>مصري</v>
      </c>
      <c r="F58">
        <v>593544970</v>
      </c>
      <c r="G58" t="str">
        <v>F.Rizq@altanmiyah.edu.sa</v>
      </c>
      <c r="H58" t="str">
        <v>بكالوريوس علوم وتربية</v>
      </c>
      <c r="I58" t="str">
        <v>فيزياء وكيمياء</v>
      </c>
      <c r="J58" t="str">
        <v>فيزياء</v>
      </c>
      <c r="K58" t="str">
        <v>ثانوي</v>
      </c>
      <c r="L58">
        <v>24</v>
      </c>
      <c r="M58">
        <v>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>
        <v>25</v>
      </c>
      <c r="B59">
        <v>99</v>
      </c>
      <c r="C59" t="str">
        <v>محمد متولي محمد حسن</v>
      </c>
      <c r="D59">
        <v>2397060761</v>
      </c>
      <c r="E59" t="str">
        <v>مصري</v>
      </c>
      <c r="F59">
        <v>593671461</v>
      </c>
      <c r="G59" t="str">
        <v>M.Mitwali@altanmiyah.edu.sa</v>
      </c>
      <c r="H59" t="str">
        <v>بكالوريوس علوم</v>
      </c>
      <c r="I59" t="str">
        <v>كيمياء</v>
      </c>
      <c r="J59" t="str">
        <v>كيمياء</v>
      </c>
      <c r="K59" t="str">
        <v>ثانوي</v>
      </c>
      <c r="L59">
        <v>26</v>
      </c>
      <c r="M59">
        <v>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>
        <v>26</v>
      </c>
      <c r="B60">
        <v>132</v>
      </c>
      <c r="C60" t="str">
        <v>محمد احمد عبدالله عبد الفتاح</v>
      </c>
      <c r="D60">
        <v>2323205456</v>
      </c>
      <c r="E60" t="str">
        <v>مصري</v>
      </c>
      <c r="F60">
        <v>535964015</v>
      </c>
      <c r="G60" t="str">
        <v>m.abulfattah@altanmiyah.edu.sa</v>
      </c>
      <c r="H60" t="str">
        <v>بكالوريوس نظم معلومات</v>
      </c>
      <c r="I60" t="str">
        <v xml:space="preserve">حاسب الي </v>
      </c>
      <c r="J60" t="str">
        <v xml:space="preserve"> مهارات رقمية</v>
      </c>
      <c r="K60" t="str">
        <v>ثانوي</v>
      </c>
      <c r="L60">
        <v>18</v>
      </c>
      <c r="M60">
        <v>1</v>
      </c>
      <c r="N60" t="str">
        <v/>
      </c>
      <c r="O60" t="str">
        <v>مكمل (٨) بالمتوسط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>
        <v>27</v>
      </c>
      <c r="B61" t="str">
        <v>3068</v>
      </c>
      <c r="C61" t="str">
        <v>محمد على ابراهيم احمد</v>
      </c>
      <c r="D61">
        <v>2555224241</v>
      </c>
      <c r="E61" t="str">
        <v>مصري</v>
      </c>
      <c r="F61">
        <v>597834206</v>
      </c>
      <c r="G61" t="str">
        <v>3068@ALTANMIYAH.EDU.SA</v>
      </c>
      <c r="H61" t="str">
        <v>بكالوريوس علوم وتربية</v>
      </c>
      <c r="I61" t="str">
        <v>احياء</v>
      </c>
      <c r="J61" t="str">
        <v>احياء</v>
      </c>
      <c r="K61" t="str">
        <v>ثانوي</v>
      </c>
      <c r="L61">
        <v>27</v>
      </c>
      <c r="M61">
        <v>1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 t="str">
        <v/>
      </c>
      <c r="B62" t="str">
        <v>معلمات</v>
      </c>
      <c r="C62" t="str">
        <v>بيانات  المعلمات ( جميع المراحل )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>
        <v>1</v>
      </c>
      <c r="B63">
        <v>195</v>
      </c>
      <c r="C63" t="str">
        <v>أثير محمد بن سعد الحربي</v>
      </c>
      <c r="D63">
        <v>1101391603</v>
      </c>
      <c r="E63" t="str">
        <v>سعودية</v>
      </c>
      <c r="F63">
        <v>535375812</v>
      </c>
      <c r="G63" t="str">
        <v>atheer.alharbi@altanmiyah.edu.sa</v>
      </c>
      <c r="H63" t="str">
        <v>بكالوريوس</v>
      </c>
      <c r="I63" t="str">
        <v>رياض أطفال</v>
      </c>
      <c r="J63" t="str">
        <v>رياض أطفال</v>
      </c>
      <c r="K63" t="str">
        <v>تمهيدي</v>
      </c>
      <c r="L63" t="str">
        <v/>
      </c>
      <c r="M63">
        <v>1</v>
      </c>
      <c r="N63" t="str">
        <v/>
      </c>
      <c r="O63" t="str">
        <v/>
      </c>
    </row>
    <row r="64">
      <c r="A64">
        <v>2</v>
      </c>
      <c r="B64">
        <v>201</v>
      </c>
      <c r="C64" t="str">
        <v>ساره فهد عبدالله العجمي</v>
      </c>
      <c r="D64">
        <v>1070000169</v>
      </c>
      <c r="E64" t="str">
        <v>سعودية</v>
      </c>
      <c r="F64">
        <v>551391313</v>
      </c>
      <c r="G64" t="str">
        <v>s.alajmi@altanmiyah.edu.sa</v>
      </c>
      <c r="H64" t="str">
        <v>بكالوريوس</v>
      </c>
      <c r="I64" t="str">
        <v>رياض أطفال</v>
      </c>
      <c r="J64" t="str">
        <v>رياض أطفال</v>
      </c>
      <c r="K64" t="str">
        <v>تمهيدي</v>
      </c>
      <c r="L64" t="str">
        <v/>
      </c>
      <c r="M64">
        <v>1</v>
      </c>
      <c r="N64" t="str">
        <v/>
      </c>
      <c r="O64" t="str">
        <v/>
      </c>
    </row>
    <row r="65">
      <c r="A65">
        <v>1</v>
      </c>
      <c r="B65">
        <v>277</v>
      </c>
      <c r="C65" t="str">
        <v>منى مقبل بن عبد العزيز الخلف</v>
      </c>
      <c r="D65">
        <v>1030800088</v>
      </c>
      <c r="E65" t="str">
        <v>سعودية</v>
      </c>
      <c r="F65">
        <v>555994993</v>
      </c>
      <c r="G65" t="str">
        <v>M.Alkhalaf@altanmiyah.edu.sa</v>
      </c>
      <c r="H65" t="str">
        <v>بكالوريوس</v>
      </c>
      <c r="I65" t="str">
        <v xml:space="preserve">احياء </v>
      </c>
      <c r="J65" t="str">
        <v>علوم</v>
      </c>
      <c r="K65" t="str">
        <v>ابتدائي</v>
      </c>
      <c r="L65" t="str">
        <v/>
      </c>
      <c r="M65">
        <v>1</v>
      </c>
      <c r="N65" t="str">
        <v/>
      </c>
      <c r="O65" t="str">
        <v/>
      </c>
    </row>
    <row r="66">
      <c r="A66">
        <v>2</v>
      </c>
      <c r="B66">
        <v>4411</v>
      </c>
      <c r="C66" t="str">
        <v>ناهد يحى محسن بعزفي</v>
      </c>
      <c r="D66">
        <v>1096733116</v>
      </c>
      <c r="E66" t="str">
        <v>سعودية</v>
      </c>
      <c r="F66">
        <v>506776366</v>
      </c>
      <c r="G66" t="str">
        <v>4411@altanmiyah.edu.sa</v>
      </c>
      <c r="H66" t="str">
        <v>بكالوريوس</v>
      </c>
      <c r="I66" t="str">
        <v>لغة عربية</v>
      </c>
      <c r="J66" t="str">
        <v>لغة عربية</v>
      </c>
      <c r="K66" t="str">
        <v>ابتدائي</v>
      </c>
      <c r="L66" t="str">
        <v/>
      </c>
      <c r="M66">
        <v>1</v>
      </c>
      <c r="N66" t="str">
        <v/>
      </c>
      <c r="O66" t="str">
        <v>اسرية</v>
      </c>
    </row>
    <row r="67">
      <c r="A67">
        <v>3</v>
      </c>
      <c r="B67">
        <v>3979</v>
      </c>
      <c r="C67" t="str">
        <v>هدى عواض ظافر البكري</v>
      </c>
      <c r="D67">
        <v>1090590280</v>
      </c>
      <c r="E67" t="str">
        <v>سعودية</v>
      </c>
      <c r="F67">
        <v>507557516</v>
      </c>
      <c r="G67" t="str">
        <v>3979@altanmiyah.edu.sa</v>
      </c>
      <c r="H67" t="str">
        <v>بكالوريوس</v>
      </c>
      <c r="I67" t="str">
        <v>تصوير تشكيلي و طباعة</v>
      </c>
      <c r="J67" t="str">
        <v>فنية</v>
      </c>
      <c r="K67" t="str">
        <v>ابتدائي</v>
      </c>
      <c r="L67" t="str">
        <v/>
      </c>
      <c r="M67">
        <v>1</v>
      </c>
      <c r="N67" t="str">
        <v/>
      </c>
      <c r="O67" t="str">
        <v>اسرية-بدنية</v>
      </c>
    </row>
    <row r="68">
      <c r="A68">
        <v>4</v>
      </c>
      <c r="B68">
        <v>186</v>
      </c>
      <c r="C68" t="str">
        <v>عهود فالح بن فاتل الرويلي</v>
      </c>
      <c r="D68">
        <v>1072851387</v>
      </c>
      <c r="E68" t="str">
        <v>سعودية</v>
      </c>
      <c r="F68">
        <v>555958725</v>
      </c>
      <c r="G68" t="str">
        <v>o.alruwaili@altanmiyah.edu.sa</v>
      </c>
      <c r="H68" t="str">
        <v>بكالوريوس</v>
      </c>
      <c r="I68" t="str">
        <v>لغة انجليزية</v>
      </c>
      <c r="J68" t="str">
        <v>لغة انجليزية</v>
      </c>
      <c r="K68" t="str">
        <v>ابتدائي</v>
      </c>
      <c r="L68" t="str">
        <v/>
      </c>
      <c r="M68">
        <v>0</v>
      </c>
      <c r="N68" t="str">
        <v/>
      </c>
      <c r="O68" t="str">
        <v xml:space="preserve">بدنية </v>
      </c>
    </row>
    <row r="69">
      <c r="A69">
        <v>5</v>
      </c>
      <c r="B69">
        <v>258</v>
      </c>
      <c r="C69" t="str">
        <v>نوف عائش بن شليويح الزلفي</v>
      </c>
      <c r="D69">
        <v>1039555444</v>
      </c>
      <c r="E69" t="str">
        <v>سعودية</v>
      </c>
      <c r="F69">
        <v>535750688</v>
      </c>
      <c r="G69" t="str">
        <v>N.ALZULFI@ALTanmiyah.edu.sa</v>
      </c>
      <c r="H69" t="str">
        <v>بكالوريوس</v>
      </c>
      <c r="I69" t="str">
        <v>رياضيات</v>
      </c>
      <c r="J69" t="str">
        <v>رياضيات</v>
      </c>
      <c r="K69" t="str">
        <v>ابتدائي</v>
      </c>
      <c r="L69" t="str">
        <v/>
      </c>
      <c r="M69">
        <v>0</v>
      </c>
      <c r="N69" t="str">
        <v/>
      </c>
      <c r="O69" t="str">
        <v>اسرية</v>
      </c>
    </row>
    <row r="70">
      <c r="A70">
        <v>6</v>
      </c>
      <c r="B70">
        <v>4613</v>
      </c>
      <c r="C70" t="str">
        <v xml:space="preserve">أشواق خالد سحلي السلمي العنزي </v>
      </c>
      <c r="D70">
        <v>1100642105</v>
      </c>
      <c r="E70" t="str">
        <v>سعودية</v>
      </c>
      <c r="F70">
        <v>564299881</v>
      </c>
      <c r="G70" t="str">
        <v>4613@altanmiyah.edu.sa</v>
      </c>
      <c r="H70" t="str">
        <v>بكالوريوس</v>
      </c>
      <c r="I70" t="str">
        <v>لغة عربية</v>
      </c>
      <c r="J70" t="str">
        <v>لغة عربية</v>
      </c>
      <c r="K70" t="str">
        <v>ابتدائي</v>
      </c>
      <c r="L70" t="str">
        <v/>
      </c>
      <c r="M70">
        <v>1</v>
      </c>
      <c r="N70" t="str">
        <v/>
      </c>
      <c r="O70" t="str">
        <v>اسلاميات</v>
      </c>
    </row>
    <row r="71">
      <c r="A71">
        <v>7</v>
      </c>
      <c r="B71">
        <v>4665</v>
      </c>
      <c r="C71" t="str">
        <v xml:space="preserve">سارة منيف غزاي المخلفي </v>
      </c>
      <c r="D71">
        <v>1109240026</v>
      </c>
      <c r="E71" t="str">
        <v>سعودية</v>
      </c>
      <c r="F71">
        <v>554020886</v>
      </c>
      <c r="G71" t="str">
        <v>4665@altanmiyah.edu.sa</v>
      </c>
      <c r="H71" t="str">
        <v>بكالوريوس</v>
      </c>
      <c r="I71" t="str">
        <v>دراسات اسلامية</v>
      </c>
      <c r="J71" t="str">
        <v>اسلاميات</v>
      </c>
      <c r="K71" t="str">
        <v>ابتدائي</v>
      </c>
      <c r="L71" t="str">
        <v/>
      </c>
      <c r="M71">
        <v>1</v>
      </c>
      <c r="N71" t="str">
        <v/>
      </c>
      <c r="O71" t="str">
        <v xml:space="preserve">اجتماعيات </v>
      </c>
    </row>
    <row r="72">
      <c r="A72">
        <v>8</v>
      </c>
      <c r="B72">
        <v>4839</v>
      </c>
      <c r="C72" t="str">
        <v>نوضا سعيد سعود المطيري</v>
      </c>
      <c r="D72">
        <v>1087563092</v>
      </c>
      <c r="E72" t="str">
        <v>سعودية</v>
      </c>
      <c r="F72">
        <v>504439030</v>
      </c>
      <c r="G72" t="str">
        <v>4839@altanmiyah.edu.sa</v>
      </c>
      <c r="H72" t="str">
        <v>بكالوريوس</v>
      </c>
      <c r="I72" t="str">
        <v>رياضيات</v>
      </c>
      <c r="J72" t="str">
        <v>رياضيات</v>
      </c>
      <c r="K72" t="str">
        <v>ابتدائي</v>
      </c>
      <c r="L72" t="str">
        <v/>
      </c>
      <c r="M72">
        <v>1</v>
      </c>
      <c r="N72" t="str">
        <v/>
      </c>
      <c r="O72" t="str">
        <v/>
      </c>
    </row>
    <row r="73">
      <c r="A73">
        <v>9</v>
      </c>
      <c r="B73">
        <v>4073</v>
      </c>
      <c r="C73" t="str">
        <v>نورا مجدي جلال محمود</v>
      </c>
      <c r="D73">
        <v>3183302037</v>
      </c>
      <c r="E73" t="str">
        <v>مصرية</v>
      </c>
      <c r="F73">
        <v>96893292767</v>
      </c>
      <c r="G73" t="str">
        <v>4073@altanmiyah.edu.sa</v>
      </c>
      <c r="H73" t="str">
        <v>بكالوريوس</v>
      </c>
      <c r="I73" t="str">
        <v>لغة انجليزية</v>
      </c>
      <c r="J73" t="str">
        <v>لغة انجليزية</v>
      </c>
      <c r="K73" t="str">
        <v>ابتدائي</v>
      </c>
      <c r="L73" t="str">
        <v/>
      </c>
      <c r="M73">
        <v>0</v>
      </c>
      <c r="N73" t="str">
        <v/>
      </c>
      <c r="O73" t="str">
        <v/>
      </c>
    </row>
    <row r="74">
      <c r="A74">
        <v>1</v>
      </c>
      <c r="B74">
        <v>4454</v>
      </c>
      <c r="C74" t="str">
        <v>حنان خالد عبدالمحسن الغربي</v>
      </c>
      <c r="D74">
        <v>1040870246</v>
      </c>
      <c r="E74" t="str">
        <v>سعودية</v>
      </c>
      <c r="F74">
        <v>533694533</v>
      </c>
      <c r="G74" t="str">
        <v>4454@altanmiyah.edu.sa</v>
      </c>
      <c r="H74" t="str">
        <v>بكالوريوس</v>
      </c>
      <c r="I74" t="str">
        <v>اجتماعيات</v>
      </c>
      <c r="J74" t="str">
        <v>اجتماعيات</v>
      </c>
      <c r="K74" t="str">
        <v>متوسط</v>
      </c>
      <c r="L74" t="str">
        <v/>
      </c>
      <c r="M74">
        <v>1</v>
      </c>
      <c r="N74" t="str">
        <v/>
      </c>
      <c r="O74" t="str">
        <v>تاريخ - بحث - مجال اختياري - اسرية</v>
      </c>
    </row>
    <row r="75">
      <c r="A75">
        <v>2</v>
      </c>
      <c r="B75">
        <v>777</v>
      </c>
      <c r="C75" t="str">
        <v>حنان مطيران رجاء العنزي</v>
      </c>
      <c r="D75">
        <v>1032078469</v>
      </c>
      <c r="E75" t="str">
        <v>سعودية</v>
      </c>
      <c r="F75">
        <v>501195488</v>
      </c>
      <c r="G75" t="str">
        <v>777@altanmiyah.edu.sa</v>
      </c>
      <c r="H75" t="str">
        <v>بكالوريوس</v>
      </c>
      <c r="I75" t="str">
        <v>لغة انجليزية</v>
      </c>
      <c r="J75" t="str">
        <v>لغة انجليزية</v>
      </c>
      <c r="K75" t="str">
        <v>متوسط</v>
      </c>
      <c r="L75" t="str">
        <v/>
      </c>
      <c r="M75">
        <v>1</v>
      </c>
      <c r="N75" t="str">
        <v/>
      </c>
      <c r="O75" t="str">
        <v>بدنية-رقمية</v>
      </c>
    </row>
    <row r="76">
      <c r="A76">
        <v>3</v>
      </c>
      <c r="B76">
        <v>3207</v>
      </c>
      <c r="C76" t="str">
        <v>نهال سليمان محمد الشبرمي</v>
      </c>
      <c r="D76">
        <v>1086472568</v>
      </c>
      <c r="E76" t="str">
        <v>سعودية</v>
      </c>
      <c r="F76">
        <v>500131813</v>
      </c>
      <c r="G76" t="str">
        <v>3207@altanmiyah.edu.sa</v>
      </c>
      <c r="H76" t="str">
        <v>بكالوريوس</v>
      </c>
      <c r="I76" t="str">
        <v>دراسات إسلامية</v>
      </c>
      <c r="J76" t="str">
        <v>اسلاميات</v>
      </c>
      <c r="K76" t="str">
        <v>متوسط</v>
      </c>
      <c r="L76" t="str">
        <v/>
      </c>
      <c r="M76">
        <v>1</v>
      </c>
      <c r="N76" t="str">
        <v/>
      </c>
      <c r="O76" t="str">
        <v>اجتماعيات - اسرية - ناقد - رقمية</v>
      </c>
    </row>
    <row r="77">
      <c r="A77">
        <v>4</v>
      </c>
      <c r="B77">
        <v>4838</v>
      </c>
      <c r="C77" t="str">
        <v xml:space="preserve">الجوهرة رجاء جالي المخلفي </v>
      </c>
      <c r="D77">
        <v>1090199421</v>
      </c>
      <c r="E77" t="str">
        <v>سعودية</v>
      </c>
      <c r="F77">
        <v>535311125</v>
      </c>
      <c r="G77" t="str">
        <v>4838@altanmiyah.edu.sa</v>
      </c>
      <c r="H77" t="str">
        <v>بكالوريوس</v>
      </c>
      <c r="I77" t="str">
        <v>لغة عربية</v>
      </c>
      <c r="J77" t="str">
        <v>لغة عربية</v>
      </c>
      <c r="K77" t="str">
        <v>متوسط</v>
      </c>
      <c r="L77" t="str">
        <v/>
      </c>
      <c r="M77">
        <v>1</v>
      </c>
      <c r="N77" t="str">
        <v/>
      </c>
      <c r="O77" t="str">
        <v>بدنية - رقمية</v>
      </c>
    </row>
    <row r="78">
      <c r="A78">
        <v>1</v>
      </c>
      <c r="B78">
        <v>191</v>
      </c>
      <c r="C78" t="str">
        <v>سلطانه مدعث عوانان البقمي</v>
      </c>
      <c r="D78">
        <v>1078713391</v>
      </c>
      <c r="E78" t="str">
        <v>سعودية</v>
      </c>
      <c r="F78">
        <v>551491226</v>
      </c>
      <c r="G78" t="str">
        <v>S.Albaqmi@altanmiyah.edu.sa</v>
      </c>
      <c r="H78" t="str">
        <v>بكالوريوس</v>
      </c>
      <c r="I78" t="str">
        <v xml:space="preserve">رياضيات </v>
      </c>
      <c r="J78" t="str">
        <v>رياضيات</v>
      </c>
      <c r="K78" t="str">
        <v>ثانوي</v>
      </c>
      <c r="L78" t="str">
        <v/>
      </c>
      <c r="M78">
        <v>0</v>
      </c>
      <c r="N78" t="str">
        <v/>
      </c>
      <c r="O78" t="str">
        <v>بدنية</v>
      </c>
    </row>
    <row r="79">
      <c r="A79">
        <v>2</v>
      </c>
      <c r="B79">
        <v>4467</v>
      </c>
      <c r="C79" t="str">
        <v xml:space="preserve">سلطانة فرحان عوض العصيمي العتيبي </v>
      </c>
      <c r="D79">
        <v>1106877986</v>
      </c>
      <c r="E79" t="str">
        <v>سعودية</v>
      </c>
      <c r="F79">
        <v>538898978</v>
      </c>
      <c r="G79" t="str">
        <v>4467@altanmiyah.edu.sa</v>
      </c>
      <c r="H79" t="str">
        <v>بكالوريوس</v>
      </c>
      <c r="I79" t="str">
        <v>فيزياء</v>
      </c>
      <c r="J79" t="str">
        <v>فيزياء</v>
      </c>
      <c r="K79" t="str">
        <v>ثانوي</v>
      </c>
      <c r="L79" t="str">
        <v/>
      </c>
      <c r="M79">
        <v>0</v>
      </c>
      <c r="N79" t="str">
        <v/>
      </c>
      <c r="O79" t="str">
        <v>علوم</v>
      </c>
    </row>
    <row r="80">
      <c r="A80">
        <v>3</v>
      </c>
      <c r="B80">
        <v>175</v>
      </c>
      <c r="C80" t="str">
        <v>نوف سليمان بن علي العتيبي</v>
      </c>
      <c r="D80">
        <v>1046735476</v>
      </c>
      <c r="E80" t="str">
        <v>سعودية</v>
      </c>
      <c r="F80">
        <v>557553982</v>
      </c>
      <c r="G80" t="str">
        <v>Nouf.alotaibi@altanmiyah.edu.sa</v>
      </c>
      <c r="H80" t="str">
        <v>بكالوريوس</v>
      </c>
      <c r="I80" t="str">
        <v>لغة عربية</v>
      </c>
      <c r="J80" t="str">
        <v>لغة عربية</v>
      </c>
      <c r="K80" t="str">
        <v>ثانوي</v>
      </c>
      <c r="L80" t="str">
        <v/>
      </c>
      <c r="M80">
        <v>1</v>
      </c>
      <c r="N80" t="str">
        <v/>
      </c>
      <c r="O80" t="str">
        <v xml:space="preserve">بدنية </v>
      </c>
    </row>
    <row r="81">
      <c r="A81">
        <v>4</v>
      </c>
      <c r="B81">
        <v>1768</v>
      </c>
      <c r="C81" t="str">
        <v>هدى سعد نافع المطيري</v>
      </c>
      <c r="D81">
        <v>1045321450</v>
      </c>
      <c r="E81" t="str">
        <v>سعودية</v>
      </c>
      <c r="F81">
        <v>563268883</v>
      </c>
      <c r="G81" t="str">
        <v>h.almutairy@dab-schools.edu.sa</v>
      </c>
      <c r="H81" t="str">
        <v>بكالوريوس</v>
      </c>
      <c r="I81" t="str">
        <v>كيمياء</v>
      </c>
      <c r="J81" t="str">
        <v>كيمياء</v>
      </c>
      <c r="K81" t="str">
        <v>ثانوي</v>
      </c>
      <c r="L81" t="str">
        <v/>
      </c>
      <c r="M81">
        <v>1</v>
      </c>
      <c r="N81" t="str">
        <v/>
      </c>
      <c r="O81" t="str">
        <v>علوم</v>
      </c>
    </row>
    <row r="82">
      <c r="A82">
        <v>5</v>
      </c>
      <c r="B82" t="str">
        <v/>
      </c>
      <c r="C82" t="str">
        <v>ديما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>
        <v>6</v>
      </c>
      <c r="B83">
        <v>3409</v>
      </c>
      <c r="C83" t="str">
        <v>بدور نشاء دخيل الله البقمي</v>
      </c>
      <c r="D83">
        <v>1085724225</v>
      </c>
      <c r="E83" t="str">
        <v>سعودية</v>
      </c>
      <c r="F83">
        <v>533260893</v>
      </c>
      <c r="G83" t="str">
        <v>3409@altanmiyah.edu.sa</v>
      </c>
      <c r="H83" t="str">
        <v>بكالوريوس</v>
      </c>
      <c r="I83" t="str">
        <v xml:space="preserve">رياضيات </v>
      </c>
      <c r="J83" t="str">
        <v>رياضيات</v>
      </c>
      <c r="K83" t="str">
        <v>ثانوي</v>
      </c>
      <c r="L83" t="str">
        <v/>
      </c>
      <c r="M83">
        <v>0</v>
      </c>
      <c r="N83" t="str">
        <v/>
      </c>
      <c r="O83" t="str">
        <v/>
      </c>
    </row>
    <row r="84">
      <c r="A84">
        <v>7</v>
      </c>
      <c r="B84">
        <v>3213</v>
      </c>
      <c r="C84" t="str">
        <v>ريم محمد بعيجان الحربي</v>
      </c>
      <c r="D84">
        <v>1058962182</v>
      </c>
      <c r="E84" t="str">
        <v>سعودية</v>
      </c>
      <c r="F84">
        <v>508187827</v>
      </c>
      <c r="G84" t="str">
        <v>3213@altanmiyah.edu.sa</v>
      </c>
      <c r="H84" t="str">
        <v>بكالوريوس</v>
      </c>
      <c r="I84" t="str">
        <v>دراسات اسلامية</v>
      </c>
      <c r="J84" t="str">
        <v>اسلاميات</v>
      </c>
      <c r="K84" t="str">
        <v>ثانوي</v>
      </c>
      <c r="L84" t="str">
        <v/>
      </c>
      <c r="M84">
        <v>1</v>
      </c>
      <c r="N84" t="str">
        <v/>
      </c>
      <c r="O84" t="str">
        <v>ناقد - مجال اخياري</v>
      </c>
    </row>
    <row r="85">
      <c r="A85">
        <v>8</v>
      </c>
      <c r="B85">
        <v>3284</v>
      </c>
      <c r="C85" t="str">
        <v>أمل سلمان عبيد العنزي</v>
      </c>
      <c r="D85">
        <v>1067909166</v>
      </c>
      <c r="E85" t="str">
        <v>سعودية</v>
      </c>
      <c r="F85">
        <v>533350378</v>
      </c>
      <c r="G85" t="str">
        <v>3284@altanmiyah.edu.sa</v>
      </c>
      <c r="H85" t="str">
        <v>بكالوريوس</v>
      </c>
      <c r="I85" t="str">
        <v>ادب انجليزي</v>
      </c>
      <c r="J85" t="str">
        <v>لغة انجليزية</v>
      </c>
      <c r="K85" t="str">
        <v>ثانوي</v>
      </c>
      <c r="L85" t="str">
        <v/>
      </c>
      <c r="M85">
        <v>0</v>
      </c>
      <c r="N85" t="str">
        <v/>
      </c>
      <c r="O85" t="str">
        <v>بدنية</v>
      </c>
    </row>
    <row r="86">
      <c r="A86">
        <v>9</v>
      </c>
      <c r="B86">
        <v>4840</v>
      </c>
      <c r="C86" t="str">
        <v xml:space="preserve">نوير عقيل محارب الشمري </v>
      </c>
      <c r="D86">
        <v>1093886594</v>
      </c>
      <c r="E86" t="str">
        <v>سعودية</v>
      </c>
      <c r="F86">
        <v>556970857</v>
      </c>
      <c r="G86" t="str">
        <v>4840@altanmiyah.edu.sa</v>
      </c>
      <c r="H86" t="str">
        <v>بكالوريوس</v>
      </c>
      <c r="I86" t="str">
        <v xml:space="preserve">حاسب </v>
      </c>
      <c r="J86" t="str">
        <v>مهارات رقمية</v>
      </c>
      <c r="K86" t="str">
        <v>ثانوي</v>
      </c>
      <c r="L86" t="str">
        <v/>
      </c>
      <c r="M86">
        <v>1</v>
      </c>
      <c r="N86" t="str">
        <v/>
      </c>
      <c r="O86" t="str">
        <v/>
      </c>
    </row>
    <row r="87">
      <c r="A87">
        <v>10</v>
      </c>
      <c r="B87">
        <v>3847</v>
      </c>
      <c r="C87" t="str">
        <v>أماني فهمي جمال لاشين</v>
      </c>
      <c r="D87" t="str">
        <v>2581547557</v>
      </c>
      <c r="E87" t="str">
        <v>مصرية</v>
      </c>
      <c r="F87">
        <v>548221528</v>
      </c>
      <c r="G87" t="str">
        <v>3847@altanmiyah.edu.sa</v>
      </c>
      <c r="H87" t="str">
        <v>بكالوريوس</v>
      </c>
      <c r="I87" t="str">
        <v xml:space="preserve">العلوم البيولوجية </v>
      </c>
      <c r="J87" t="str">
        <v>احياء</v>
      </c>
      <c r="K87" t="str">
        <v>ثانوي</v>
      </c>
      <c r="L87" t="str">
        <v/>
      </c>
      <c r="M87">
        <v>0</v>
      </c>
      <c r="N87" t="str">
        <v/>
      </c>
      <c r="O87" t="str">
        <v>علوم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المرحلة</v>
      </c>
      <c r="H90" t="str">
        <v>عدد المعلمين</v>
      </c>
      <c r="I90" t="str">
        <v/>
      </c>
      <c r="J90" t="str">
        <v>الرخصة المهنية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سعودي</v>
      </c>
      <c r="I91" t="str">
        <v>غير سعودي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>ابتدائي</v>
      </c>
      <c r="H92">
        <v>1</v>
      </c>
      <c r="I92">
        <v>17</v>
      </c>
      <c r="J92">
        <v>8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>متوسط</v>
      </c>
      <c r="H93">
        <v>3</v>
      </c>
      <c r="I93">
        <v>9</v>
      </c>
      <c r="J93">
        <v>3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>ثانوي</v>
      </c>
      <c r="H94">
        <v>4</v>
      </c>
      <c r="I94">
        <v>23</v>
      </c>
      <c r="J94">
        <v>8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الاجمالي</v>
      </c>
      <c r="H95">
        <v>8</v>
      </c>
      <c r="I95">
        <v>49</v>
      </c>
      <c r="J95">
        <v>19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>
        <v>57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المرحلة</v>
      </c>
      <c r="H98" t="str">
        <v>عدد المعلمات</v>
      </c>
      <c r="I98" t="str">
        <v/>
      </c>
      <c r="J98" t="str">
        <v>الاجمالي</v>
      </c>
      <c r="K98" t="str">
        <v>الرخصة المهنية</v>
      </c>
      <c r="L98" t="str">
        <v/>
      </c>
      <c r="M98" t="str">
        <v/>
      </c>
      <c r="N98" t="str">
        <v/>
      </c>
      <c r="O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سعودي</v>
      </c>
      <c r="I99" t="str">
        <v>غير سعودي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>تمهيدي</v>
      </c>
      <c r="H100">
        <v>2</v>
      </c>
      <c r="I100">
        <v>0</v>
      </c>
      <c r="J100">
        <v>2</v>
      </c>
      <c r="K100">
        <v>2</v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>ابتدائي بنات</v>
      </c>
      <c r="H101">
        <v>8</v>
      </c>
      <c r="I101">
        <v>1</v>
      </c>
      <c r="J101">
        <v>9</v>
      </c>
      <c r="K101">
        <v>6</v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>متوسط بنات</v>
      </c>
      <c r="H102">
        <v>4</v>
      </c>
      <c r="I102">
        <v>0</v>
      </c>
      <c r="J102">
        <v>4</v>
      </c>
      <c r="K102">
        <v>4</v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>ثانوي بنات</v>
      </c>
      <c r="H103">
        <v>9</v>
      </c>
      <c r="I103">
        <v>1</v>
      </c>
      <c r="J103">
        <v>10</v>
      </c>
      <c r="K103">
        <v>4</v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 xml:space="preserve">إجمالي المعلمات </v>
      </c>
      <c r="H104">
        <v>23</v>
      </c>
      <c r="I104">
        <v>2</v>
      </c>
      <c r="J104">
        <v>25</v>
      </c>
      <c r="K104">
        <v>16</v>
      </c>
      <c r="L104" t="str">
        <v/>
      </c>
      <c r="M104" t="str">
        <v/>
      </c>
      <c r="N104" t="str">
        <v/>
      </c>
      <c r="O104" t="str">
        <v/>
      </c>
    </row>
  </sheetData>
  <mergeCells count="17">
    <mergeCell ref="A1:A3"/>
    <mergeCell ref="G95:G96"/>
    <mergeCell ref="D90:E90"/>
    <mergeCell ref="D91:E91"/>
    <mergeCell ref="B1:O2"/>
    <mergeCell ref="B88:K88"/>
    <mergeCell ref="G90:G91"/>
    <mergeCell ref="H90:I90"/>
    <mergeCell ref="L90:L91"/>
    <mergeCell ref="J90:J91"/>
    <mergeCell ref="C62:O62"/>
    <mergeCell ref="D98:E98"/>
    <mergeCell ref="G98:G99"/>
    <mergeCell ref="H98:I98"/>
    <mergeCell ref="J98:J99"/>
    <mergeCell ref="K98:K99"/>
    <mergeCell ref="D99:E99"/>
  </mergeCells>
  <ignoredErrors>
    <ignoredError numberStoredAsText="1" sqref="A1:U1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9"/>
  <sheetViews>
    <sheetView workbookViewId="0" rightToLeft="1"/>
  </sheetViews>
  <sheetData>
    <row r="1">
      <c r="B1" t="str">
        <v>بيانات  المعلمات ( جميع المراحل )</v>
      </c>
    </row>
    <row r="3">
      <c r="B3" t="str">
        <v>م</v>
      </c>
      <c r="C3" t="str">
        <v>اسم الموظفة رباعي</v>
      </c>
      <c r="D3" t="str">
        <v>رقم الهوية</v>
      </c>
      <c r="E3" t="str">
        <v>الجنسية</v>
      </c>
      <c r="F3" t="str">
        <v>رقم الجوال</v>
      </c>
      <c r="G3" t="str">
        <v>الإيميل</v>
      </c>
      <c r="H3" t="str">
        <v>المؤهل</v>
      </c>
      <c r="I3" t="str">
        <v>التخصص</v>
      </c>
      <c r="J3" t="str">
        <v>مادة التدريس</v>
      </c>
      <c r="K3" t="str">
        <v xml:space="preserve">المرحلة </v>
      </c>
      <c r="L3" t="str">
        <v>الرخصة المهنية</v>
      </c>
      <c r="M3" t="str">
        <v>ملاحظات</v>
      </c>
    </row>
    <row r="4">
      <c r="A4">
        <v>1</v>
      </c>
      <c r="B4">
        <v>195</v>
      </c>
      <c r="C4" t="str">
        <v>أثير محمد بن سعد الحربي</v>
      </c>
      <c r="D4">
        <v>1101391603</v>
      </c>
      <c r="E4" t="str">
        <v>سعودية</v>
      </c>
      <c r="F4">
        <v>535375812</v>
      </c>
      <c r="G4" t="str">
        <v>atheer.alharbi@altanmiyah.edu.sa</v>
      </c>
      <c r="H4" t="str">
        <v>بكالوريوس</v>
      </c>
      <c r="I4" t="str">
        <v>رياض أطفال</v>
      </c>
      <c r="J4" t="str">
        <v>رياض أطفال</v>
      </c>
      <c r="K4" t="str">
        <v>تمهيدي</v>
      </c>
      <c r="L4">
        <v>1</v>
      </c>
    </row>
    <row r="5">
      <c r="A5">
        <v>2</v>
      </c>
      <c r="B5">
        <v>201</v>
      </c>
      <c r="C5" t="str">
        <v>ساره فهد عبدالله العجمي</v>
      </c>
      <c r="D5">
        <v>1070000169</v>
      </c>
      <c r="E5" t="str">
        <v>سعودية</v>
      </c>
      <c r="F5">
        <v>551391313</v>
      </c>
      <c r="G5" t="str">
        <v>s.alajmi@altanmiyah.edu.sa</v>
      </c>
      <c r="H5" t="str">
        <v>بكالوريوس</v>
      </c>
      <c r="I5" t="str">
        <v>رياض أطفال</v>
      </c>
      <c r="J5" t="str">
        <v>رياض أطفال</v>
      </c>
      <c r="K5" t="str">
        <v>تمهيدي</v>
      </c>
      <c r="L5">
        <v>1</v>
      </c>
    </row>
    <row r="6">
      <c r="A6">
        <v>1</v>
      </c>
      <c r="B6">
        <v>277</v>
      </c>
      <c r="C6" t="str">
        <v>منى مقبل بن عبد العزيز الخلف</v>
      </c>
      <c r="D6">
        <v>1030800088</v>
      </c>
      <c r="E6" t="str">
        <v>سعودية</v>
      </c>
      <c r="F6">
        <v>555994993</v>
      </c>
      <c r="G6" t="str">
        <v>M.Alkhalaf@altanmiyah.edu.sa</v>
      </c>
      <c r="H6" t="str">
        <v>بكالوريوس</v>
      </c>
      <c r="I6" t="str">
        <v xml:space="preserve">احياء </v>
      </c>
      <c r="J6" t="str">
        <v>علوم</v>
      </c>
      <c r="K6" t="str">
        <v>ابتدائي</v>
      </c>
      <c r="L6">
        <v>1</v>
      </c>
    </row>
    <row r="7">
      <c r="A7">
        <v>2</v>
      </c>
      <c r="B7">
        <v>4411</v>
      </c>
      <c r="C7" t="str">
        <v>ناهد يحى محسن بعزفي</v>
      </c>
      <c r="D7">
        <v>1096733116</v>
      </c>
      <c r="E7" t="str">
        <v>سعودية</v>
      </c>
      <c r="F7">
        <v>506776366</v>
      </c>
      <c r="G7" t="str">
        <v>4411@altanmiyah.edu.sa</v>
      </c>
      <c r="H7" t="str">
        <v>بكالوريوس</v>
      </c>
      <c r="I7" t="str">
        <v>لغة عربية</v>
      </c>
      <c r="J7" t="str">
        <v>لغة عربية</v>
      </c>
      <c r="K7" t="str">
        <v>ابتدائي</v>
      </c>
      <c r="L7">
        <v>1</v>
      </c>
      <c r="M7" t="str">
        <v>اسرية</v>
      </c>
    </row>
    <row r="8">
      <c r="A8">
        <v>3</v>
      </c>
      <c r="B8">
        <v>3979</v>
      </c>
      <c r="C8" t="str">
        <v>هدى عواض ظافر البكري</v>
      </c>
      <c r="D8">
        <v>1090590280</v>
      </c>
      <c r="E8" t="str">
        <v>سعودية</v>
      </c>
      <c r="F8">
        <v>507557516</v>
      </c>
      <c r="G8" t="str">
        <v>3979@altanmiyah.edu.sa</v>
      </c>
      <c r="H8" t="str">
        <v>بكالوريوس</v>
      </c>
      <c r="I8" t="str">
        <v>تصوير تشكيلي و طباعة</v>
      </c>
      <c r="J8" t="str">
        <v>فنية</v>
      </c>
      <c r="K8" t="str">
        <v>ابتدائي</v>
      </c>
      <c r="L8">
        <v>1</v>
      </c>
      <c r="M8" t="str">
        <v>اسرية-بدنية</v>
      </c>
    </row>
    <row r="9">
      <c r="A9">
        <v>4</v>
      </c>
      <c r="B9">
        <v>186</v>
      </c>
      <c r="C9" t="str">
        <v>عهود فالح بن فاتل الرويلي</v>
      </c>
      <c r="D9">
        <v>1072851387</v>
      </c>
      <c r="E9" t="str">
        <v>سعودية</v>
      </c>
      <c r="F9">
        <v>555958725</v>
      </c>
      <c r="G9" t="str">
        <v>o.alruwaili@altanmiyah.edu.sa</v>
      </c>
      <c r="H9" t="str">
        <v>بكالوريوس</v>
      </c>
      <c r="I9" t="str">
        <v>لغة انجليزية</v>
      </c>
      <c r="J9" t="str">
        <v>لغة انجليزية</v>
      </c>
      <c r="K9" t="str">
        <v>ابتدائي</v>
      </c>
      <c r="L9">
        <v>0</v>
      </c>
      <c r="M9" t="str">
        <v xml:space="preserve">بدنية </v>
      </c>
    </row>
    <row r="10">
      <c r="A10">
        <v>5</v>
      </c>
      <c r="B10">
        <v>258</v>
      </c>
      <c r="C10" t="str">
        <v>نوف عائش بن شليويح الزلفي</v>
      </c>
      <c r="D10">
        <v>1039555444</v>
      </c>
      <c r="E10" t="str">
        <v>سعودية</v>
      </c>
      <c r="F10">
        <v>535750688</v>
      </c>
      <c r="G10" t="str">
        <v>N.ALZULFI@ALTanmiyah.edu.sa</v>
      </c>
      <c r="H10" t="str">
        <v>بكالوريوس</v>
      </c>
      <c r="I10" t="str">
        <v>رياضيات</v>
      </c>
      <c r="J10" t="str">
        <v>رياضيات</v>
      </c>
      <c r="K10" t="str">
        <v>ابتدائي</v>
      </c>
      <c r="L10">
        <v>0</v>
      </c>
      <c r="M10" t="str">
        <v>اسرية</v>
      </c>
    </row>
    <row r="11">
      <c r="A11">
        <v>6</v>
      </c>
      <c r="B11">
        <v>4613</v>
      </c>
      <c r="C11" t="str">
        <v xml:space="preserve">أشواق خالد سحلي السلمي العنزي </v>
      </c>
      <c r="D11">
        <v>1100642105</v>
      </c>
      <c r="E11" t="str">
        <v>سعودية</v>
      </c>
      <c r="F11">
        <v>564299881</v>
      </c>
      <c r="G11" t="str">
        <v>4613@altanmiyah.edu.sa</v>
      </c>
      <c r="H11" t="str">
        <v>بكالوريوس</v>
      </c>
      <c r="I11" t="str">
        <v>لغة عربية</v>
      </c>
      <c r="J11" t="str">
        <v>لغة عربية</v>
      </c>
      <c r="K11" t="str">
        <v>ابتدائي</v>
      </c>
      <c r="L11">
        <v>1</v>
      </c>
      <c r="M11" t="str">
        <v>اسلاميات</v>
      </c>
    </row>
    <row r="12">
      <c r="A12">
        <v>7</v>
      </c>
      <c r="B12">
        <v>4665</v>
      </c>
      <c r="C12" t="str">
        <v xml:space="preserve">سارة منيف غزاي المخلفي </v>
      </c>
      <c r="D12">
        <v>1109240026</v>
      </c>
      <c r="E12" t="str">
        <v>سعودية</v>
      </c>
      <c r="F12">
        <v>554020886</v>
      </c>
      <c r="G12" t="str">
        <v>4665@altanmiyah.edu.sa</v>
      </c>
      <c r="H12" t="str">
        <v>بكالوريوس</v>
      </c>
      <c r="I12" t="str">
        <v>دراسات اسلامية</v>
      </c>
      <c r="J12" t="str">
        <v>اسلاميات</v>
      </c>
      <c r="K12" t="str">
        <v>ابتدائي</v>
      </c>
      <c r="L12">
        <v>1</v>
      </c>
      <c r="M12" t="str">
        <v xml:space="preserve">اجتماعيات </v>
      </c>
    </row>
    <row r="13">
      <c r="A13">
        <v>8</v>
      </c>
      <c r="B13">
        <v>4839</v>
      </c>
      <c r="C13" t="str">
        <v>نوضا سعيد سعود المطيري</v>
      </c>
      <c r="D13">
        <v>1087563092</v>
      </c>
      <c r="E13" t="str">
        <v>سعودية</v>
      </c>
      <c r="F13">
        <v>504439030</v>
      </c>
      <c r="G13" t="str">
        <v>4839@altanmiyah.edu.sa</v>
      </c>
      <c r="H13" t="str">
        <v>بكالوريوس</v>
      </c>
      <c r="I13" t="str">
        <v>رياضيات</v>
      </c>
      <c r="J13" t="str">
        <v>رياضيات</v>
      </c>
      <c r="K13" t="str">
        <v>ابتدائي</v>
      </c>
      <c r="L13">
        <v>1</v>
      </c>
    </row>
    <row r="14">
      <c r="A14">
        <v>9</v>
      </c>
      <c r="B14">
        <v>4073</v>
      </c>
      <c r="C14" t="str">
        <v>نورا مجدي جلال محمود</v>
      </c>
      <c r="D14">
        <v>3183302037</v>
      </c>
      <c r="E14" t="str">
        <v>مصرية</v>
      </c>
      <c r="F14">
        <v>96893292767</v>
      </c>
      <c r="G14" t="str">
        <v>4073@altanmiyah.edu.sa</v>
      </c>
      <c r="H14" t="str">
        <v>بكالوريوس</v>
      </c>
      <c r="I14" t="str">
        <v>لغة انجليزية</v>
      </c>
      <c r="J14" t="str">
        <v>لغة انجليزية</v>
      </c>
      <c r="K14" t="str">
        <v>ابتدائي</v>
      </c>
      <c r="L14">
        <v>0</v>
      </c>
    </row>
    <row r="15">
      <c r="A15">
        <v>1</v>
      </c>
      <c r="B15">
        <v>4454</v>
      </c>
      <c r="C15" t="str">
        <v>حنان خالد عبدالمحسن الغربي</v>
      </c>
      <c r="D15">
        <v>1040870246</v>
      </c>
      <c r="E15" t="str">
        <v>سعودية</v>
      </c>
      <c r="F15">
        <v>533694533</v>
      </c>
      <c r="G15" t="str">
        <v>4454@altanmiyah.edu.sa</v>
      </c>
      <c r="H15" t="str">
        <v>بكالوريوس</v>
      </c>
      <c r="I15" t="str">
        <v>اجتماعيات</v>
      </c>
      <c r="J15" t="str">
        <v>اجتماعيات</v>
      </c>
      <c r="K15" t="str">
        <v>متوسط</v>
      </c>
      <c r="L15">
        <v>1</v>
      </c>
      <c r="M15" t="str">
        <v>تاريخ - بحث - مجال اختياري - اسرية</v>
      </c>
    </row>
    <row r="16">
      <c r="A16">
        <v>2</v>
      </c>
      <c r="B16">
        <v>777</v>
      </c>
      <c r="C16" t="str">
        <v>حنان مطيران رجاء العنزي</v>
      </c>
      <c r="D16">
        <v>1032078469</v>
      </c>
      <c r="E16" t="str">
        <v>سعودية</v>
      </c>
      <c r="F16">
        <v>501195488</v>
      </c>
      <c r="G16" t="str">
        <v>777@altanmiyah.edu.sa</v>
      </c>
      <c r="H16" t="str">
        <v>بكالوريوس</v>
      </c>
      <c r="I16" t="str">
        <v>لغة انجليزية</v>
      </c>
      <c r="J16" t="str">
        <v>لغة انجليزية</v>
      </c>
      <c r="K16" t="str">
        <v>متوسط</v>
      </c>
      <c r="L16">
        <v>1</v>
      </c>
      <c r="M16" t="str">
        <v>بدنية-رقمية</v>
      </c>
    </row>
    <row r="17">
      <c r="A17">
        <v>3</v>
      </c>
      <c r="B17">
        <v>3207</v>
      </c>
      <c r="C17" t="str">
        <v>نهال سليمان محمد الشبرمي</v>
      </c>
      <c r="D17">
        <v>1086472568</v>
      </c>
      <c r="E17" t="str">
        <v>سعودية</v>
      </c>
      <c r="F17">
        <v>500131813</v>
      </c>
      <c r="G17" t="str">
        <v>3207@altanmiyah.edu.sa</v>
      </c>
      <c r="H17" t="str">
        <v>بكالوريوس</v>
      </c>
      <c r="I17" t="str">
        <v>دراسات إسلامية</v>
      </c>
      <c r="J17" t="str">
        <v>اسلاميات</v>
      </c>
      <c r="K17" t="str">
        <v>متوسط</v>
      </c>
      <c r="L17">
        <v>1</v>
      </c>
      <c r="M17" t="str">
        <v>اجتماعيات - اسرية - ناقد - رقمية</v>
      </c>
    </row>
    <row r="18">
      <c r="A18">
        <v>4</v>
      </c>
      <c r="B18">
        <v>4838</v>
      </c>
      <c r="C18" t="str">
        <v xml:space="preserve">الجوهرة رجاء جالي المخلفي </v>
      </c>
      <c r="D18">
        <v>1090199421</v>
      </c>
      <c r="E18" t="str">
        <v>سعودية</v>
      </c>
      <c r="F18">
        <v>535311125</v>
      </c>
      <c r="G18" t="str">
        <v>4838@altanmiyah.edu.sa</v>
      </c>
      <c r="H18" t="str">
        <v>بكالوريوس</v>
      </c>
      <c r="I18" t="str">
        <v>لغة عربية</v>
      </c>
      <c r="J18" t="str">
        <v>لغة عربية</v>
      </c>
      <c r="K18" t="str">
        <v>متوسط</v>
      </c>
      <c r="L18">
        <v>1</v>
      </c>
      <c r="M18" t="str">
        <v>بدنية - رقمية</v>
      </c>
    </row>
    <row r="19">
      <c r="A19">
        <v>1</v>
      </c>
      <c r="B19">
        <v>191</v>
      </c>
      <c r="C19" t="str">
        <v>سلطانه مدعث عوانان البقمي</v>
      </c>
      <c r="D19">
        <v>1078713391</v>
      </c>
      <c r="E19" t="str">
        <v>سعودية</v>
      </c>
      <c r="F19">
        <v>551491226</v>
      </c>
      <c r="G19" t="str">
        <v>S.Albaqmi@altanmiyah.edu.sa</v>
      </c>
      <c r="H19" t="str">
        <v>بكالوريوس</v>
      </c>
      <c r="I19" t="str">
        <v xml:space="preserve">رياضيات </v>
      </c>
      <c r="J19" t="str">
        <v>رياضيات</v>
      </c>
      <c r="K19" t="str">
        <v>ثانوي</v>
      </c>
      <c r="L19">
        <v>0</v>
      </c>
      <c r="M19" t="str">
        <v>بدنية</v>
      </c>
    </row>
    <row r="20">
      <c r="A20">
        <v>2</v>
      </c>
      <c r="B20">
        <v>4467</v>
      </c>
      <c r="C20" t="str">
        <v xml:space="preserve">سلطانة فرحان عوض العصيمي العتيبي </v>
      </c>
      <c r="D20">
        <v>1106877986</v>
      </c>
      <c r="E20" t="str">
        <v>سعودية</v>
      </c>
      <c r="F20">
        <v>538898978</v>
      </c>
      <c r="G20" t="str">
        <v>4467@altanmiyah.edu.sa</v>
      </c>
      <c r="H20" t="str">
        <v>بكالوريوس</v>
      </c>
      <c r="I20" t="str">
        <v>فيزياء</v>
      </c>
      <c r="J20" t="str">
        <v>فيزياء</v>
      </c>
      <c r="K20" t="str">
        <v>ثانوي</v>
      </c>
      <c r="L20">
        <v>0</v>
      </c>
      <c r="M20" t="str">
        <v>علوم</v>
      </c>
    </row>
    <row r="21">
      <c r="A21">
        <v>3</v>
      </c>
      <c r="B21">
        <v>175</v>
      </c>
      <c r="C21" t="str">
        <v>نوف سليمان بن علي العتيبي</v>
      </c>
      <c r="D21">
        <v>1046735476</v>
      </c>
      <c r="E21" t="str">
        <v>سعودية</v>
      </c>
      <c r="F21">
        <v>557553982</v>
      </c>
      <c r="G21" t="str">
        <v>Nouf.alotaibi@altanmiyah.edu.sa</v>
      </c>
      <c r="H21" t="str">
        <v>بكالوريوس</v>
      </c>
      <c r="I21" t="str">
        <v>لغة عربية</v>
      </c>
      <c r="J21" t="str">
        <v>لغة عربية</v>
      </c>
      <c r="K21" t="str">
        <v>ثانوي</v>
      </c>
      <c r="L21">
        <v>1</v>
      </c>
      <c r="M21" t="str">
        <v xml:space="preserve">بدنية </v>
      </c>
    </row>
    <row r="22">
      <c r="A22">
        <v>4</v>
      </c>
      <c r="B22">
        <v>1768</v>
      </c>
      <c r="C22" t="str">
        <v>هدى سعد نافع المطيري</v>
      </c>
      <c r="D22">
        <v>1045321450</v>
      </c>
      <c r="E22" t="str">
        <v>سعودية</v>
      </c>
      <c r="F22">
        <v>563268883</v>
      </c>
      <c r="G22" t="str">
        <v>h.almutairy@dab-schools.edu.sa</v>
      </c>
      <c r="H22" t="str">
        <v>بكالوريوس</v>
      </c>
      <c r="I22" t="str">
        <v>كيمياء</v>
      </c>
      <c r="J22" t="str">
        <v>كيمياء</v>
      </c>
      <c r="K22" t="str">
        <v>ثانوي</v>
      </c>
      <c r="L22">
        <v>1</v>
      </c>
      <c r="M22" t="str">
        <v>علوم</v>
      </c>
    </row>
    <row r="23">
      <c r="A23">
        <v>5</v>
      </c>
      <c r="C23" t="str">
        <v>ديما</v>
      </c>
    </row>
    <row r="24">
      <c r="A24">
        <v>6</v>
      </c>
      <c r="B24">
        <v>3409</v>
      </c>
      <c r="C24" t="str">
        <v>بدور نشاء دخيل الله البقمي</v>
      </c>
      <c r="D24">
        <v>1085724225</v>
      </c>
      <c r="E24" t="str">
        <v>سعودية</v>
      </c>
      <c r="F24">
        <v>533260893</v>
      </c>
      <c r="G24" t="str">
        <v>3409@altanmiyah.edu.sa</v>
      </c>
      <c r="H24" t="str">
        <v>بكالوريوس</v>
      </c>
      <c r="I24" t="str">
        <v xml:space="preserve">رياضيات </v>
      </c>
      <c r="J24" t="str">
        <v>رياضيات</v>
      </c>
      <c r="K24" t="str">
        <v>ثانوي</v>
      </c>
      <c r="L24">
        <v>0</v>
      </c>
    </row>
    <row r="25">
      <c r="A25">
        <v>7</v>
      </c>
      <c r="B25">
        <v>3213</v>
      </c>
      <c r="C25" t="str">
        <v>ريم محمد بعيجان الحربي</v>
      </c>
      <c r="D25">
        <v>1058962182</v>
      </c>
      <c r="E25" t="str">
        <v>سعودية</v>
      </c>
      <c r="F25">
        <v>508187827</v>
      </c>
      <c r="G25" t="str">
        <v>3213@altanmiyah.edu.sa</v>
      </c>
      <c r="H25" t="str">
        <v>بكالوريوس</v>
      </c>
      <c r="I25" t="str">
        <v>دراسات اسلامية</v>
      </c>
      <c r="J25" t="str">
        <v>اسلاميات</v>
      </c>
      <c r="K25" t="str">
        <v>ثانوي</v>
      </c>
      <c r="L25">
        <v>1</v>
      </c>
      <c r="M25" t="str">
        <v>ناقد - مجال اخياري</v>
      </c>
    </row>
    <row r="26">
      <c r="A26">
        <v>8</v>
      </c>
      <c r="B26">
        <v>3284</v>
      </c>
      <c r="C26" t="str">
        <v>أمل سلمان عبيد العنزي</v>
      </c>
      <c r="D26">
        <v>1067909166</v>
      </c>
      <c r="E26" t="str">
        <v>سعودية</v>
      </c>
      <c r="F26">
        <v>533350378</v>
      </c>
      <c r="G26" t="str">
        <v>3284@altanmiyah.edu.sa</v>
      </c>
      <c r="H26" t="str">
        <v>بكالوريوس</v>
      </c>
      <c r="I26" t="str">
        <v>ادب انجليزي</v>
      </c>
      <c r="J26" t="str">
        <v>لغة انجليزية</v>
      </c>
      <c r="K26" t="str">
        <v>ثانوي</v>
      </c>
      <c r="L26">
        <v>0</v>
      </c>
      <c r="M26" t="str">
        <v>بدنية</v>
      </c>
    </row>
    <row r="27">
      <c r="A27">
        <v>9</v>
      </c>
      <c r="B27">
        <v>4840</v>
      </c>
      <c r="C27" t="str">
        <v xml:space="preserve">نوير عقيل محارب الشمري </v>
      </c>
      <c r="D27">
        <v>1093886594</v>
      </c>
      <c r="E27" t="str">
        <v>سعودية</v>
      </c>
      <c r="F27">
        <v>556970857</v>
      </c>
      <c r="G27" t="str">
        <v>4840@altanmiyah.edu.sa</v>
      </c>
      <c r="H27" t="str">
        <v>بكالوريوس</v>
      </c>
      <c r="I27" t="str">
        <v xml:space="preserve">حاسب </v>
      </c>
      <c r="J27" t="str">
        <v>مهارات رقمية</v>
      </c>
      <c r="K27" t="str">
        <v>ثانوي</v>
      </c>
      <c r="L27">
        <v>1</v>
      </c>
    </row>
    <row r="28">
      <c r="A28">
        <v>10</v>
      </c>
      <c r="B28">
        <v>3847</v>
      </c>
      <c r="C28" t="str">
        <v>أماني فهمي جمال لاشين</v>
      </c>
      <c r="D28" t="str">
        <v>2581547557</v>
      </c>
      <c r="E28" t="str">
        <v>مصرية</v>
      </c>
      <c r="F28">
        <v>548221528</v>
      </c>
      <c r="G28" t="str">
        <v>3847@altanmiyah.edu.sa</v>
      </c>
      <c r="H28" t="str">
        <v>بكالوريوس</v>
      </c>
      <c r="I28" t="str">
        <v xml:space="preserve">العلوم البيولوجية </v>
      </c>
      <c r="J28" t="str">
        <v>احياء</v>
      </c>
      <c r="K28" t="str">
        <v>ثانوي</v>
      </c>
      <c r="L28">
        <v>0</v>
      </c>
      <c r="M28" t="str">
        <v>علوم</v>
      </c>
    </row>
    <row r="33">
      <c r="G33" t="str">
        <v>المرحلة</v>
      </c>
      <c r="H33" t="str">
        <v>عدد المعلمات</v>
      </c>
      <c r="J33" t="str">
        <v>الاجمالي</v>
      </c>
      <c r="K33" t="str">
        <v>الرخصة المهنية</v>
      </c>
    </row>
    <row r="34">
      <c r="H34" t="str">
        <v>سعودي</v>
      </c>
      <c r="I34" t="str">
        <v>غير سعودي</v>
      </c>
    </row>
    <row r="35">
      <c r="G35" t="str">
        <v>تمهيدي</v>
      </c>
      <c r="H35">
        <v>2</v>
      </c>
      <c r="I35">
        <v>0</v>
      </c>
      <c r="J35">
        <f>SUM(H35:I35)</f>
        <v>2</v>
      </c>
      <c r="K35">
        <f>SUM(L4:L5)</f>
        <v>2</v>
      </c>
    </row>
    <row r="36">
      <c r="G36" t="str">
        <v>ابتدائي بنات</v>
      </c>
      <c r="H36">
        <v>8</v>
      </c>
      <c r="I36">
        <v>1</v>
      </c>
      <c r="J36">
        <f>SUM(H36:I36)</f>
        <v>9</v>
      </c>
      <c r="K36">
        <f>SUM(L6:L14)</f>
        <v>6</v>
      </c>
    </row>
    <row r="37">
      <c r="G37" t="str">
        <v>متوسط بنات</v>
      </c>
      <c r="H37">
        <v>4</v>
      </c>
      <c r="I37">
        <v>0</v>
      </c>
      <c r="J37">
        <f>SUM(H37:I37)</f>
        <v>4</v>
      </c>
      <c r="K37">
        <f>SUM(L15:L18)</f>
        <v>4</v>
      </c>
    </row>
    <row r="38">
      <c r="G38" t="str">
        <v>ثانوي بنات</v>
      </c>
      <c r="H38">
        <v>9</v>
      </c>
      <c r="I38">
        <v>1</v>
      </c>
      <c r="J38">
        <f>SUM(H38:I38)</f>
        <v>10</v>
      </c>
      <c r="K38">
        <f>SUM(L19:L28)</f>
        <v>4</v>
      </c>
    </row>
    <row r="39">
      <c r="G39" t="str">
        <v xml:space="preserve">إجمالي المعلمات </v>
      </c>
      <c r="H39">
        <f>SUM(H35:H38)</f>
        <v>23</v>
      </c>
      <c r="I39">
        <f>SUM(I35:I38)</f>
        <v>2</v>
      </c>
      <c r="J39">
        <f>SUM(J35:J38)</f>
        <v>25</v>
      </c>
      <c r="K39">
        <f>SUM(K35:K38)</f>
        <v>16</v>
      </c>
    </row>
  </sheetData>
  <autoFilter ref="B3:M62"/>
  <mergeCells count="8">
    <mergeCell ref="A1:A3"/>
    <mergeCell ref="B1:M2"/>
    <mergeCell ref="D33:E33"/>
    <mergeCell ref="G33:G34"/>
    <mergeCell ref="H33:I33"/>
    <mergeCell ref="J33:J34"/>
    <mergeCell ref="K33:K34"/>
    <mergeCell ref="D34:E34"/>
  </mergeCells>
  <hyperlinks>
    <hyperlink ref="G4" r:id="rId1"/>
    <hyperlink ref="G5" r:id="rId2"/>
    <hyperlink ref="G11" r:id="rId3"/>
    <hyperlink ref="G18" r:id="rId4"/>
  </hyperlinks>
  <pageMargins left="0.15748031496062992" right="0.15748031496062992" top="0.2362204724409449" bottom="0.35433070866141736" header="0.31496062992125984" footer="0.31496062992125984"/>
  <ignoredErrors>
    <ignoredError numberStoredAsText="1" sqref="A1:M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L7"/>
  <sheetViews>
    <sheetView workbookViewId="0" rightToLeft="1"/>
  </sheetViews>
  <sheetData>
    <row r="1">
      <c r="B1" t="str">
        <v>ادارة المجمع</v>
      </c>
    </row>
    <row r="2">
      <c r="B2" t="str">
        <v>رقم وظيفي</v>
      </c>
      <c r="C2" t="str">
        <v>اسم الموظفة رباعي</v>
      </c>
      <c r="D2" t="str">
        <v xml:space="preserve">الوظيفة </v>
      </c>
      <c r="E2" t="str">
        <v xml:space="preserve">المرحلة </v>
      </c>
      <c r="F2" t="str">
        <v>رقم الهوية</v>
      </c>
      <c r="G2" t="str">
        <v>الجنسية</v>
      </c>
      <c r="H2" t="str">
        <v>رقم الجوال</v>
      </c>
      <c r="I2" t="str">
        <v>الإيميل</v>
      </c>
      <c r="J2" t="str">
        <v>المؤهل</v>
      </c>
      <c r="K2" t="str">
        <v>التخصص</v>
      </c>
      <c r="L2" t="str">
        <v>رخصة</v>
      </c>
    </row>
    <row r="3">
      <c r="B3">
        <v>4600</v>
      </c>
      <c r="C3" t="str">
        <v>الجوهرة بنت سعود بن سعد البالود</v>
      </c>
      <c r="D3" t="str">
        <v>وكيل</v>
      </c>
      <c r="E3" t="str">
        <v>إدارة المجمع</v>
      </c>
      <c r="G3" t="str">
        <v>سعودية</v>
      </c>
      <c r="I3" t="str">
        <v>Aljoharah.albaloud@altanmiyah.edu.sa</v>
      </c>
      <c r="J3" t="str">
        <v>بكالوريوس</v>
      </c>
      <c r="K3" t="str">
        <v>تربية فنية</v>
      </c>
    </row>
    <row r="4">
      <c r="B4">
        <v>21</v>
      </c>
      <c r="C4" t="str">
        <v>ياسر علواني حفني حسن</v>
      </c>
      <c r="D4" t="str">
        <v>سكرتير</v>
      </c>
      <c r="E4" t="str">
        <v>إدارة المجمع</v>
      </c>
      <c r="F4">
        <v>2295980011</v>
      </c>
      <c r="G4" t="str">
        <v>مصري</v>
      </c>
      <c r="H4">
        <v>595617259</v>
      </c>
      <c r="I4" t="str">
        <v>y.hassan@altanmiyah.edu.sa</v>
      </c>
      <c r="J4" t="str">
        <v>بكالوريوس</v>
      </c>
      <c r="K4" t="str">
        <v>رياضيات</v>
      </c>
    </row>
    <row r="5">
      <c r="B5">
        <v>185</v>
      </c>
      <c r="C5" t="str">
        <v>أمينه صالح معيتق الحربي</v>
      </c>
      <c r="D5" t="str">
        <v>مشرف مقيم</v>
      </c>
      <c r="E5" t="str">
        <v>قسم البنات</v>
      </c>
      <c r="G5" t="str">
        <v>سعودية</v>
      </c>
      <c r="I5" t="str">
        <v>Amina.Alharbi@altanmiyah.edu.sa</v>
      </c>
    </row>
    <row r="6">
      <c r="B6">
        <v>114</v>
      </c>
      <c r="C6" t="str">
        <v>محمد مصطفى سنهابي</v>
      </c>
      <c r="D6" t="str">
        <v>مشرف مقيم</v>
      </c>
      <c r="E6" t="str">
        <v>قسم البنين</v>
      </c>
      <c r="F6">
        <v>2372202024</v>
      </c>
      <c r="G6" t="str">
        <v>مصري</v>
      </c>
      <c r="H6">
        <v>531504194</v>
      </c>
      <c r="I6" t="str">
        <v>M.Sanhabi@altanmiyah.edu.sa</v>
      </c>
      <c r="J6" t="str">
        <v>بكالوريوس دار علوم</v>
      </c>
      <c r="K6" t="str">
        <v>لغة عربية</v>
      </c>
    </row>
  </sheetData>
  <mergeCells count="1">
    <mergeCell ref="B1:L1"/>
  </mergeCells>
  <hyperlinks>
    <hyperlink ref="I4" r:id="rId1"/>
    <hyperlink ref="I6" r:id="rId2"/>
  </hyperlinks>
  <pageMargins left="0.7" right="0.7" top="0.75" bottom="0.75" header="0.3" footer="0.3"/>
  <ignoredErrors>
    <ignoredError numberStoredAsText="1" sqref="B1:L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61"/>
  <sheetViews>
    <sheetView workbookViewId="0" rightToLeft="1"/>
  </sheetViews>
  <sheetData>
    <row r="1">
      <c r="B1" t="str">
        <v>اداريين قسم البنين</v>
      </c>
    </row>
    <row r="2">
      <c r="B2" t="str">
        <v>إداريين المرحلة الابتدائية بنين</v>
      </c>
    </row>
    <row r="3">
      <c r="B3" t="str">
        <v>رقم وظيفي</v>
      </c>
      <c r="C3" t="str">
        <v>اسم الموظفة رباعي</v>
      </c>
      <c r="D3" t="str">
        <v xml:space="preserve">الوظيفة </v>
      </c>
      <c r="E3" t="str">
        <v xml:space="preserve">المرحلة </v>
      </c>
      <c r="F3" t="str">
        <v>رقم الهوية</v>
      </c>
      <c r="G3" t="str">
        <v>الجنسية</v>
      </c>
      <c r="H3" t="str">
        <v>رقم الجوال</v>
      </c>
      <c r="I3" t="str">
        <v>الإيميل</v>
      </c>
      <c r="J3" t="str">
        <v>المؤهل</v>
      </c>
      <c r="K3" t="str">
        <v>التخصص</v>
      </c>
      <c r="L3" t="str">
        <v>الرخصة المهنية</v>
      </c>
    </row>
    <row r="4">
      <c r="B4">
        <v>24</v>
      </c>
      <c r="C4" t="str">
        <v>عمرو عبدالتواب عطا</v>
      </c>
      <c r="D4" t="str">
        <v>وكيل</v>
      </c>
      <c r="E4" t="str">
        <v>الابتدائي</v>
      </c>
      <c r="F4">
        <v>2312391994</v>
      </c>
      <c r="G4" t="str">
        <v>مصري</v>
      </c>
      <c r="H4">
        <v>541219474</v>
      </c>
      <c r="I4" t="str">
        <v>24@altanmiyah.edu.sa</v>
      </c>
      <c r="J4" t="str">
        <v>بكالوريوس</v>
      </c>
      <c r="K4" t="str">
        <v>رياضيات</v>
      </c>
    </row>
    <row r="5">
      <c r="B5">
        <v>80</v>
      </c>
      <c r="C5" t="str">
        <v>الزين الشيخ الزين أبوجبل</v>
      </c>
      <c r="D5" t="str">
        <v>وكيل</v>
      </c>
      <c r="E5" t="str">
        <v>المتوسطة</v>
      </c>
      <c r="F5">
        <v>2576598045</v>
      </c>
      <c r="G5" t="str">
        <v>سوداني</v>
      </c>
      <c r="H5">
        <v>535311347</v>
      </c>
      <c r="I5" t="str">
        <v>80@altanmiyah.edu.sa</v>
      </c>
      <c r="J5" t="str">
        <v>بكالوريوس</v>
      </c>
      <c r="K5" t="str">
        <v>لغة انجليزية</v>
      </c>
    </row>
    <row r="6">
      <c r="B6">
        <v>3503</v>
      </c>
      <c r="C6" t="str">
        <v>محمد مدين عبدالصادق عبدالقادر</v>
      </c>
      <c r="D6" t="str">
        <v>رائد نشاط</v>
      </c>
      <c r="E6" t="str">
        <v>الابتدائي</v>
      </c>
      <c r="G6" t="str">
        <v>مصري</v>
      </c>
      <c r="I6" t="str">
        <v>3503@altanmiyah.edu.sa</v>
      </c>
      <c r="J6" t="str">
        <v xml:space="preserve">بكالوريوس خدمة اجتماعية </v>
      </c>
      <c r="K6" t="str">
        <v>اجتماع</v>
      </c>
    </row>
    <row r="8">
      <c r="B8" t="str">
        <v>إداريين المرحلة المتوسطة بنين</v>
      </c>
    </row>
    <row r="9">
      <c r="B9" t="str">
        <v>رقم وظيفي</v>
      </c>
      <c r="C9" t="str">
        <v>اسم الموظفة رباعي</v>
      </c>
      <c r="D9" t="str">
        <v xml:space="preserve">الوظيفة </v>
      </c>
      <c r="E9" t="str">
        <v xml:space="preserve">المرحلة </v>
      </c>
      <c r="F9" t="str">
        <v>رقم الهوية</v>
      </c>
      <c r="G9" t="str">
        <v>الجنسية</v>
      </c>
      <c r="H9" t="str">
        <v>رقم الجوال</v>
      </c>
      <c r="I9" t="str">
        <v>الإيميل</v>
      </c>
      <c r="J9" t="str">
        <v>المؤهل</v>
      </c>
      <c r="K9" t="str">
        <v>التخصص</v>
      </c>
      <c r="L9" t="str">
        <v>الرخصة المهنية</v>
      </c>
    </row>
    <row r="10">
      <c r="B10">
        <v>93</v>
      </c>
      <c r="C10" t="str">
        <v>قصي حسن حسن زقزاق</v>
      </c>
      <c r="D10" t="str">
        <v>وكيل</v>
      </c>
      <c r="E10" t="str">
        <v>الثانوية</v>
      </c>
      <c r="F10">
        <v>2295725507</v>
      </c>
      <c r="G10" t="str">
        <v>مصر</v>
      </c>
      <c r="H10">
        <v>538774812</v>
      </c>
      <c r="I10" t="str">
        <v>Q.Zaqzaq@altanmiyah.edu.sa</v>
      </c>
      <c r="J10" t="str">
        <v>بكالوريوس علوم</v>
      </c>
      <c r="K10" t="str">
        <v>علوم</v>
      </c>
    </row>
    <row r="11">
      <c r="B11">
        <v>4033</v>
      </c>
      <c r="C11" t="str">
        <v>خالد سعود عجيز العتيبي</v>
      </c>
      <c r="D11" t="str">
        <v>موجه طلابي</v>
      </c>
      <c r="E11" t="str">
        <v>الثانوية</v>
      </c>
      <c r="F11">
        <v>1107682567</v>
      </c>
      <c r="G11" t="str">
        <v>سعودي</v>
      </c>
      <c r="H11">
        <v>533977767</v>
      </c>
      <c r="I11" t="str">
        <v>4033@altanmiyah.edu.sa</v>
      </c>
      <c r="J11" t="str">
        <v>بكالوريوس</v>
      </c>
      <c r="K11" t="str">
        <v>علم نفس</v>
      </c>
    </row>
    <row r="13">
      <c r="B13" t="str">
        <v>إداريين المرحلة الثانوية بنين</v>
      </c>
    </row>
    <row r="14">
      <c r="B14" t="str">
        <v>رقم وظيفي</v>
      </c>
      <c r="C14" t="str">
        <v>اسم الموظفة رباعي</v>
      </c>
      <c r="D14" t="str">
        <v xml:space="preserve">الوظيفة </v>
      </c>
      <c r="E14" t="str">
        <v xml:space="preserve">المرحلة </v>
      </c>
      <c r="F14" t="str">
        <v>رقم الهوية</v>
      </c>
      <c r="G14" t="str">
        <v>الجنسية</v>
      </c>
      <c r="H14" t="str">
        <v>رقم الجوال</v>
      </c>
      <c r="I14" t="str">
        <v>الإيميل</v>
      </c>
      <c r="J14" t="str">
        <v>المؤهل</v>
      </c>
      <c r="K14" t="str">
        <v>التخصص</v>
      </c>
      <c r="L14" t="str">
        <v>الرخصة المهنية</v>
      </c>
    </row>
    <row r="15">
      <c r="B15">
        <v>165</v>
      </c>
      <c r="C15" t="str">
        <v>محمد مفرح عبدالعالي العنزي</v>
      </c>
      <c r="D15" t="str">
        <v>مدير مرحلة</v>
      </c>
      <c r="E15" t="str">
        <v>الثانوية</v>
      </c>
      <c r="F15">
        <v>1086111679</v>
      </c>
      <c r="G15" t="str">
        <v>السعودية</v>
      </c>
      <c r="H15">
        <v>545389278</v>
      </c>
      <c r="I15" t="str">
        <v>M.Mufreh@altanmiyah.edu.sa</v>
      </c>
      <c r="J15" t="str">
        <v>بكالوريوس اجتماع</v>
      </c>
      <c r="K15" t="str">
        <v>علم نفس</v>
      </c>
    </row>
    <row r="16">
      <c r="B16">
        <v>89</v>
      </c>
      <c r="C16" t="str">
        <v xml:space="preserve">مصطفى رجب جمعه العباسي </v>
      </c>
      <c r="D16" t="str">
        <v xml:space="preserve">وكيل </v>
      </c>
      <c r="E16" t="str">
        <v>الثانوية</v>
      </c>
      <c r="F16">
        <v>2295984575</v>
      </c>
      <c r="G16" t="str">
        <v xml:space="preserve">مصري </v>
      </c>
      <c r="H16">
        <v>546786061</v>
      </c>
      <c r="I16" t="str">
        <v>B.Deputy.Sec_Daq@Altanmiyah.edu.sa</v>
      </c>
      <c r="J16" t="str">
        <v xml:space="preserve">بكالوريوس تربية </v>
      </c>
      <c r="K16" t="str">
        <v xml:space="preserve">لغة انجليزية </v>
      </c>
    </row>
    <row r="17">
      <c r="B17">
        <v>2625</v>
      </c>
      <c r="C17" t="str">
        <v>مشعل حمود الرمالي  الشمري</v>
      </c>
      <c r="D17" t="str">
        <v>موجه طلابي</v>
      </c>
      <c r="E17" t="str">
        <v>الثانوية</v>
      </c>
      <c r="F17">
        <v>1096150808</v>
      </c>
      <c r="G17" t="str">
        <v>سعودي</v>
      </c>
      <c r="H17">
        <v>555829588</v>
      </c>
      <c r="I17" t="str">
        <v>Meshaal.Alshammari@altanmiyah.edu.sa</v>
      </c>
      <c r="J17" t="str">
        <v>ماجستير</v>
      </c>
      <c r="K17" t="str">
        <v>توجيه وإرشاد نفسي</v>
      </c>
    </row>
    <row r="18">
      <c r="B18">
        <v>155</v>
      </c>
      <c r="C18" t="str">
        <v xml:space="preserve"> احمد رفعت حامد السعدني </v>
      </c>
      <c r="D18" t="str">
        <v xml:space="preserve">رائد نشاط </v>
      </c>
      <c r="E18" t="str">
        <v>الثانوية</v>
      </c>
      <c r="F18">
        <v>2396958551</v>
      </c>
      <c r="G18" t="str">
        <v xml:space="preserve">مصري </v>
      </c>
      <c r="H18">
        <v>582108151</v>
      </c>
      <c r="I18" t="str">
        <v>A.Alsaadani@altanmiyah.edu.sa</v>
      </c>
      <c r="J18" t="str">
        <v>بكالوريوس التربية النوعية</v>
      </c>
      <c r="K18" t="str">
        <v>إعلام تربوي</v>
      </c>
    </row>
    <row r="19">
      <c r="B19">
        <v>65</v>
      </c>
      <c r="C19" t="str">
        <v>عبد العزيز خالد عبد العزيز العتيق</v>
      </c>
      <c r="D19" t="str">
        <v>مساعد اداري</v>
      </c>
      <c r="E19" t="str">
        <v>الثانوية</v>
      </c>
      <c r="F19">
        <v>1073686394</v>
      </c>
      <c r="G19" t="str">
        <v>سعودي</v>
      </c>
      <c r="H19">
        <v>545069043</v>
      </c>
      <c r="I19" t="str">
        <v>A.Alateeq@altanmiyah.edu.sa</v>
      </c>
      <c r="J19" t="str">
        <v>بكالوريوس</v>
      </c>
      <c r="K19" t="str">
        <v>اصول دين</v>
      </c>
    </row>
    <row r="20">
      <c r="B20">
        <v>2529</v>
      </c>
      <c r="C20" t="str">
        <v>سعود محمد فيحان المطيري</v>
      </c>
      <c r="D20" t="str">
        <v>رائد نشاط</v>
      </c>
      <c r="E20" t="str">
        <v>الثانوية</v>
      </c>
      <c r="F20">
        <v>1081571646</v>
      </c>
      <c r="G20" t="str">
        <v>السعودية</v>
      </c>
      <c r="H20">
        <v>558158466</v>
      </c>
      <c r="I20" t="str">
        <v>saud.almutairi@altanmiyah.edu.sa</v>
      </c>
      <c r="J20" t="str">
        <v>بكالوريوس رياضيات</v>
      </c>
      <c r="K20" t="str">
        <v>رياضيات</v>
      </c>
    </row>
    <row r="24">
      <c r="C24" t="str">
        <v>الإداريين</v>
      </c>
    </row>
    <row r="25">
      <c r="C25" t="str">
        <v>مرحلة</v>
      </c>
      <c r="D25" t="str">
        <v>سعودي</v>
      </c>
      <c r="E25" t="str">
        <v>غير سعودي</v>
      </c>
      <c r="F25" t="str">
        <v>المجموع</v>
      </c>
      <c r="G25" t="str">
        <v>الرخصة المهنية</v>
      </c>
    </row>
    <row r="26">
      <c r="C26" t="str">
        <v>ابتدائي</v>
      </c>
      <c r="D26">
        <v>0</v>
      </c>
      <c r="E26">
        <v>3</v>
      </c>
      <c r="F26">
        <f>SUM(D26:E26)</f>
        <v>3</v>
      </c>
      <c r="G26">
        <f>L4+L5+L6+L7</f>
        <v>0</v>
      </c>
    </row>
    <row r="27">
      <c r="C27" t="str">
        <v>متوسط</v>
      </c>
      <c r="D27">
        <v>1</v>
      </c>
      <c r="E27">
        <v>1</v>
      </c>
      <c r="F27">
        <f>SUM(D27:E27)</f>
        <v>2</v>
      </c>
      <c r="G27">
        <f>L10+L11+L12</f>
        <v>0</v>
      </c>
    </row>
    <row r="28">
      <c r="C28" t="str">
        <v>ثانوي</v>
      </c>
      <c r="D28">
        <v>4</v>
      </c>
      <c r="E28">
        <v>2</v>
      </c>
      <c r="F28">
        <f>SUM(D28:E28)</f>
        <v>6</v>
      </c>
      <c r="G28">
        <f>L15+L16+L17+L18+L19+L20+L21</f>
        <v>0</v>
      </c>
    </row>
    <row r="29">
      <c r="C29" t="str">
        <v>المجموع</v>
      </c>
      <c r="D29">
        <f>SUM(D26:D28)</f>
        <v>5</v>
      </c>
      <c r="E29">
        <f>SUM(E26:E28)</f>
        <v>6</v>
      </c>
      <c r="F29">
        <f>SUM(F26:F28)</f>
        <v>11</v>
      </c>
      <c r="G29">
        <f>SUM(G26:G28)</f>
        <v>0</v>
      </c>
    </row>
  </sheetData>
  <mergeCells count="5">
    <mergeCell ref="B1:L1"/>
    <mergeCell ref="B2:L2"/>
    <mergeCell ref="B8:L8"/>
    <mergeCell ref="B13:L13"/>
    <mergeCell ref="C24:G24"/>
  </mergeCells>
  <hyperlinks>
    <hyperlink ref="I4" r:id="rId1"/>
    <hyperlink ref="I10" r:id="rId2"/>
    <hyperlink ref="I11" r:id="rId3"/>
    <hyperlink ref="I15" r:id="rId4"/>
    <hyperlink ref="I16" r:id="rId5"/>
    <hyperlink ref="I18" r:id="rId6"/>
    <hyperlink ref="I20" r:id="rId7"/>
  </hyperlinks>
  <pageMargins left="0.15748031496062992" right="0.15748031496062992" top="0.2755905511811024" bottom="0.15748031496062992" header="0.31496062992125984" footer="0.31496062992125984"/>
  <ignoredErrors>
    <ignoredError numberStoredAsText="1" sqref="A1:W1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W167"/>
  <sheetViews>
    <sheetView workbookViewId="0" rightToLeft="1"/>
  </sheetViews>
  <sheetData>
    <row r="1">
      <c r="B1" t="str">
        <v>ادارة المجمع</v>
      </c>
    </row>
    <row r="2">
      <c r="B2" t="str">
        <v>إداريات رياض الأطفال</v>
      </c>
    </row>
    <row r="3">
      <c r="B3" t="str">
        <v>م</v>
      </c>
      <c r="C3" t="str">
        <v>اسم الموظفة رباعي</v>
      </c>
      <c r="D3" t="str">
        <v xml:space="preserve">الوظيفة </v>
      </c>
      <c r="E3" t="str">
        <v xml:space="preserve">المرحلة </v>
      </c>
      <c r="F3" t="str">
        <v>رقم الهوية</v>
      </c>
      <c r="G3" t="str">
        <v>الجنسية</v>
      </c>
      <c r="H3" t="str">
        <v>رقم الجوال</v>
      </c>
      <c r="I3" t="str">
        <v>الإيميل</v>
      </c>
      <c r="J3" t="str">
        <v>المؤهل</v>
      </c>
      <c r="K3" t="str">
        <v>التخصص</v>
      </c>
      <c r="L3" t="str">
        <v>ملاحظات</v>
      </c>
    </row>
    <row r="4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B5" t="str">
        <v>إداريات المرحلة الابتدائية بنات</v>
      </c>
    </row>
    <row r="6">
      <c r="B6" t="str">
        <v>رقم وظيفي</v>
      </c>
      <c r="C6" t="str">
        <v>اسم الموظفة رباعي</v>
      </c>
      <c r="D6" t="str">
        <v xml:space="preserve">الوظيفة </v>
      </c>
      <c r="E6" t="str">
        <v xml:space="preserve">المرحلة </v>
      </c>
      <c r="F6" t="str">
        <v>رقم الهوية</v>
      </c>
      <c r="G6" t="str">
        <v>الجنسية</v>
      </c>
      <c r="H6" t="str">
        <v>رقم الجوال</v>
      </c>
      <c r="I6" t="str">
        <v>الإيميل</v>
      </c>
      <c r="J6" t="str">
        <v>المؤهل</v>
      </c>
      <c r="K6" t="str">
        <v>التخصص</v>
      </c>
      <c r="L6" t="str">
        <v>الرخصة المهنية</v>
      </c>
    </row>
    <row r="7">
      <c r="B7">
        <v>215</v>
      </c>
      <c r="C7" t="str">
        <v>ريما فهد القحطاني</v>
      </c>
      <c r="D7" t="str">
        <v>وكيلة</v>
      </c>
      <c r="E7" t="str">
        <v>ابتدائي</v>
      </c>
      <c r="G7" t="str">
        <v>سعودية</v>
      </c>
    </row>
    <row r="8">
      <c r="B8">
        <v>2461</v>
      </c>
      <c r="C8" t="str">
        <v>نوره منصور بن هجرس العتيبي</v>
      </c>
      <c r="D8" t="str">
        <v>موجهة طلابية</v>
      </c>
      <c r="E8" t="str">
        <v>ابتدائي</v>
      </c>
      <c r="F8">
        <v>1094668694</v>
      </c>
      <c r="G8" t="str">
        <v>سعودية</v>
      </c>
      <c r="H8">
        <v>558535905</v>
      </c>
      <c r="I8" t="str">
        <v>Noura.alotaibi@altanmiyah.edu.sa</v>
      </c>
      <c r="J8" t="str">
        <v>بكالوريوس</v>
      </c>
      <c r="K8" t="str">
        <v>خدمة اجتماعيه</v>
      </c>
      <c r="L8">
        <v>0</v>
      </c>
    </row>
    <row r="11">
      <c r="B11" t="str">
        <v>إداريات المرحلة المتوسطة بنات</v>
      </c>
    </row>
    <row r="12">
      <c r="B12" t="str">
        <v>رقم وظيفي</v>
      </c>
      <c r="C12" t="str">
        <v>اسم الموظفة رباعي</v>
      </c>
      <c r="D12" t="str">
        <v xml:space="preserve">الوظيفة </v>
      </c>
      <c r="E12" t="str">
        <v xml:space="preserve">المرحلة </v>
      </c>
      <c r="F12" t="str">
        <v>رقم الهوية</v>
      </c>
      <c r="G12" t="str">
        <v>الجنسية</v>
      </c>
      <c r="H12" t="str">
        <v>رقم الجوال</v>
      </c>
      <c r="I12" t="str">
        <v>الإيميل</v>
      </c>
      <c r="J12" t="str">
        <v>المؤهل</v>
      </c>
      <c r="K12" t="str">
        <v>التخصص</v>
      </c>
      <c r="L12" t="str">
        <v>الرخصة المهنية</v>
      </c>
    </row>
    <row r="13">
      <c r="B13">
        <v>192</v>
      </c>
      <c r="C13" t="str">
        <v>لطيفه سعد عبد الرحمن المسعر</v>
      </c>
      <c r="D13" t="str">
        <v>محضرة مختبر</v>
      </c>
      <c r="E13" t="str">
        <v>المتوسطة</v>
      </c>
      <c r="F13">
        <v>1082129105</v>
      </c>
      <c r="G13" t="str">
        <v>سعودية</v>
      </c>
      <c r="H13">
        <v>539121234</v>
      </c>
      <c r="I13" t="str">
        <v>l.almasaar@altanmiyah.edu.sa</v>
      </c>
      <c r="J13" t="str">
        <v xml:space="preserve">بكالوريوس </v>
      </c>
      <c r="K13" t="str">
        <v>كيمياء</v>
      </c>
      <c r="L13">
        <v>0</v>
      </c>
    </row>
    <row r="14">
      <c r="B14">
        <v>1794</v>
      </c>
      <c r="C14" t="str">
        <v>نورة عبد الرحمن صالح العيسى</v>
      </c>
      <c r="D14" t="str">
        <v>مساعد اداري</v>
      </c>
      <c r="E14" t="str">
        <v>المتوسطة</v>
      </c>
      <c r="F14">
        <v>1062623994</v>
      </c>
      <c r="G14" t="str">
        <v>سعودية</v>
      </c>
      <c r="H14">
        <v>509330086</v>
      </c>
      <c r="I14" t="str">
        <v>n.alaesa@dab-schools.edu.sa</v>
      </c>
      <c r="J14" t="str">
        <v xml:space="preserve">بكالوريوس </v>
      </c>
      <c r="K14" t="str">
        <v xml:space="preserve"> مكتبات ومعلومات</v>
      </c>
      <c r="L14">
        <v>1</v>
      </c>
    </row>
    <row r="18">
      <c r="B18" t="str">
        <v>إداريات المرحلة الثانوية بنات</v>
      </c>
    </row>
    <row r="19">
      <c r="B19" t="str">
        <v>رقم وظيفي</v>
      </c>
      <c r="C19" t="str">
        <v>اسم الموظفة رباعي</v>
      </c>
      <c r="D19" t="str">
        <v xml:space="preserve">الوظيفة </v>
      </c>
      <c r="E19" t="str">
        <v xml:space="preserve">المرحلة </v>
      </c>
      <c r="F19" t="str">
        <v>رقم الهوية</v>
      </c>
      <c r="G19" t="str">
        <v>الجنسية</v>
      </c>
      <c r="H19" t="str">
        <v>رقم الجوال</v>
      </c>
      <c r="I19" t="str">
        <v>الإيميل</v>
      </c>
      <c r="J19" t="str">
        <v>المؤهل</v>
      </c>
      <c r="K19" t="str">
        <v>التخصص</v>
      </c>
      <c r="L19" t="str">
        <v>الرخصة المهنية</v>
      </c>
    </row>
    <row r="20">
      <c r="B20">
        <v>208</v>
      </c>
      <c r="C20" t="str">
        <v>حميده فلاح حميدي العنزي</v>
      </c>
      <c r="D20" t="str">
        <v>مديرة</v>
      </c>
      <c r="E20" t="str">
        <v>الثانوية</v>
      </c>
      <c r="F20">
        <v>1000674232</v>
      </c>
      <c r="G20" t="str">
        <v>سعودية</v>
      </c>
      <c r="H20">
        <v>544613987</v>
      </c>
      <c r="I20" t="str">
        <v>G.principal.Sec_Daq@altanmiyah.edu.sa</v>
      </c>
      <c r="J20" t="str">
        <v>بكالوريوس</v>
      </c>
      <c r="K20" t="str">
        <v>لغة عربية</v>
      </c>
      <c r="L20">
        <v>1</v>
      </c>
    </row>
    <row r="21">
      <c r="B21">
        <v>177</v>
      </c>
      <c r="C21" t="str">
        <v>ريم قاسم داخل البقمي</v>
      </c>
      <c r="D21" t="str">
        <v>وكيلة</v>
      </c>
      <c r="E21" t="str">
        <v>الثانوية</v>
      </c>
      <c r="F21">
        <v>1096143985</v>
      </c>
      <c r="G21" t="str">
        <v>سعودية</v>
      </c>
      <c r="H21">
        <v>535310618</v>
      </c>
      <c r="I21" t="str">
        <v>R.Albaqmi@altanmiyah.edu.sa</v>
      </c>
      <c r="J21" t="str">
        <v>بكالوريوس</v>
      </c>
      <c r="K21" t="str">
        <v>لغة عربية</v>
      </c>
      <c r="L21">
        <v>1</v>
      </c>
    </row>
    <row r="22">
      <c r="B22">
        <v>183</v>
      </c>
      <c r="C22" t="str">
        <v>خلود محمد حسن حدادي</v>
      </c>
      <c r="D22" t="str">
        <v>موجهه طلابية</v>
      </c>
      <c r="E22" t="str">
        <v>الثانوية</v>
      </c>
      <c r="F22">
        <v>1065196212</v>
      </c>
      <c r="G22" t="str">
        <v>سعودية</v>
      </c>
      <c r="H22">
        <v>506056773</v>
      </c>
      <c r="I22" t="str">
        <v>K.Haddadi@altanmiyah.edu.sa</v>
      </c>
      <c r="J22" t="str">
        <v>بكالوريوس</v>
      </c>
      <c r="K22" t="str">
        <v>علم اجتماع و الخدمة اجتماعية</v>
      </c>
      <c r="L22">
        <v>0</v>
      </c>
    </row>
    <row r="23">
      <c r="B23">
        <v>281</v>
      </c>
      <c r="C23" t="str">
        <v>نوره صالح محمد السجاء</v>
      </c>
      <c r="D23" t="str">
        <v>رائدة نشاط</v>
      </c>
      <c r="E23" t="str">
        <v>الثانوية</v>
      </c>
      <c r="F23">
        <v>1088571292</v>
      </c>
      <c r="G23" t="str">
        <v>سعودية</v>
      </c>
      <c r="H23">
        <v>504436877</v>
      </c>
      <c r="I23" t="str">
        <v>N.alsajaa@altanmiyah.edu.sa</v>
      </c>
      <c r="J23" t="str">
        <v>بكالوريوس</v>
      </c>
      <c r="K23" t="str">
        <v>ملابس ونسيج</v>
      </c>
      <c r="L23">
        <v>1</v>
      </c>
    </row>
    <row r="29">
      <c r="C29" t="str">
        <v xml:space="preserve"> اداريات بنات كأفراد </v>
      </c>
    </row>
    <row r="30">
      <c r="C30" t="str">
        <v>مرحلة</v>
      </c>
      <c r="D30" t="str">
        <v>سعودية</v>
      </c>
      <c r="E30" t="str">
        <v>غير سعودية</v>
      </c>
      <c r="F30" t="str">
        <v>المجموع</v>
      </c>
      <c r="G30" t="str">
        <v>الرخصة المهنية</v>
      </c>
    </row>
    <row r="31">
      <c r="C31" t="str">
        <v>رياض اطفال</v>
      </c>
      <c r="D31">
        <v>0</v>
      </c>
      <c r="E31">
        <v>0</v>
      </c>
      <c r="F31">
        <f>SUM(D31:E31)</f>
        <v>0</v>
      </c>
      <c r="G31">
        <f>L4</f>
        <v>0</v>
      </c>
    </row>
    <row r="32">
      <c r="C32" t="str">
        <v>ابتدائي</v>
      </c>
      <c r="D32">
        <v>2</v>
      </c>
      <c r="E32">
        <v>0</v>
      </c>
      <c r="F32">
        <f>SUM(D32:E32)</f>
        <v>2</v>
      </c>
      <c r="G32">
        <f>L7+L8+L9+L10</f>
        <v>0</v>
      </c>
    </row>
    <row r="33">
      <c r="C33" t="str">
        <v>متوسط</v>
      </c>
      <c r="D33">
        <v>2</v>
      </c>
      <c r="E33">
        <v>0</v>
      </c>
      <c r="F33">
        <f>SUM(D33:E33)</f>
        <v>2</v>
      </c>
      <c r="G33">
        <f>L13+L14+L15+L16+L17</f>
        <v>1</v>
      </c>
    </row>
    <row r="34">
      <c r="C34" t="str">
        <v>ثانوي</v>
      </c>
      <c r="D34">
        <v>4</v>
      </c>
      <c r="E34">
        <v>0</v>
      </c>
      <c r="F34">
        <f>SUM(D34:E34)</f>
        <v>4</v>
      </c>
      <c r="G34">
        <f>L20+L21+L22+L23+L24+L25+L26</f>
        <v>3</v>
      </c>
    </row>
    <row r="35">
      <c r="C35" t="str">
        <v>المجموع</v>
      </c>
      <c r="D35">
        <f>SUM(D31:D34)</f>
        <v>8</v>
      </c>
      <c r="E35">
        <f>SUM(E31:E34)</f>
        <v>0</v>
      </c>
      <c r="F35">
        <f>SUM(F31:F34)</f>
        <v>8</v>
      </c>
      <c r="G35">
        <f>SUM(G31:G34)</f>
        <v>4</v>
      </c>
    </row>
  </sheetData>
  <mergeCells count="6">
    <mergeCell ref="C29:G29"/>
    <mergeCell ref="B1:L1"/>
    <mergeCell ref="B2:L2"/>
    <mergeCell ref="B5:L5"/>
    <mergeCell ref="B11:L11"/>
    <mergeCell ref="B18:L18"/>
  </mergeCells>
  <hyperlinks>
    <hyperlink ref="I8" r:id="rId1"/>
    <hyperlink ref="I23" r:id="rId2"/>
  </hyperlinks>
  <pageMargins left="0.15748031496062992" right="0.15748031496062992" top="0.2755905511811024" bottom="0.15748031496062992" header="0.31496062992125984" footer="0.31496062992125984"/>
  <ignoredErrors>
    <ignoredError numberStoredAsText="1" sqref="A1:W16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8"/>
  <sheetViews>
    <sheetView workbookViewId="0" rightToLeft="1"/>
  </sheetViews>
  <sheetData>
    <row r="1">
      <c r="A1" t="str">
        <v xml:space="preserve">شواغر مجمع دار القلم </v>
      </c>
    </row>
    <row r="2">
      <c r="A2" t="str">
        <v>قسم البنات</v>
      </c>
      <c r="B2" t="str">
        <v>التمهيدي</v>
      </c>
      <c r="C2" t="str">
        <v xml:space="preserve"> عدد الفصول</v>
      </c>
      <c r="D2" t="str">
        <v>عدد الطلاب</v>
      </c>
      <c r="E2" t="str">
        <v>الشواغر</v>
      </c>
      <c r="F2" t="str">
        <v>ابتدائي بنات</v>
      </c>
      <c r="G2" t="str">
        <v xml:space="preserve"> عدد الفصول</v>
      </c>
      <c r="H2" t="str">
        <v>عدد الطلاب</v>
      </c>
      <c r="I2" t="str">
        <v>الشواغر</v>
      </c>
      <c r="J2" t="str">
        <v>متوسط بنات</v>
      </c>
      <c r="K2" t="str">
        <v xml:space="preserve"> عدد الفصول</v>
      </c>
      <c r="L2" t="str">
        <v>عدد الطلاب</v>
      </c>
      <c r="M2" t="str">
        <v>الشواغر</v>
      </c>
      <c r="N2" t="str">
        <v>ثانوي بنات</v>
      </c>
      <c r="O2" t="str">
        <v xml:space="preserve"> عدد الفصول</v>
      </c>
      <c r="P2" t="str">
        <v>عدد الطلاب</v>
      </c>
      <c r="Q2" t="str">
        <v>الشواغر</v>
      </c>
    </row>
    <row r="3">
      <c r="B3" t="str">
        <v>KG1</v>
      </c>
      <c r="C3">
        <f>'إحصاء الطلاب'!E3</f>
        <v>1</v>
      </c>
      <c r="D3">
        <f>'إحصاء الطلاب'!I3</f>
        <v>6</v>
      </c>
      <c r="E3">
        <f>(C3*25)-D3</f>
        <v>19</v>
      </c>
      <c r="F3" t="str">
        <v>الصف الأول</v>
      </c>
      <c r="G3">
        <f>'إحصاء الطلاب'!E7+'إحصاء الطلاب'!E8</f>
        <v>1</v>
      </c>
      <c r="H3">
        <f>'إحصاء الطلاب'!I7</f>
        <v>11</v>
      </c>
      <c r="I3">
        <f>(G3*25)-H3</f>
        <v>14</v>
      </c>
      <c r="J3" t="str">
        <v>الصف الأول</v>
      </c>
      <c r="K3">
        <f>'إحصاء الطلاب'!E29</f>
        <v>1</v>
      </c>
      <c r="L3">
        <f>'إحصاء الطلاب'!I29</f>
        <v>14</v>
      </c>
      <c r="M3">
        <f>(K3*25)-L3</f>
        <v>11</v>
      </c>
      <c r="N3" t="str">
        <v>الصف الأول</v>
      </c>
      <c r="O3">
        <f>'إحصاء الطلاب'!E44</f>
        <v>2</v>
      </c>
      <c r="P3">
        <f>'إحصاء الطلاب'!I44</f>
        <v>48</v>
      </c>
      <c r="Q3">
        <f>(O3*25)-P3</f>
        <v>2</v>
      </c>
    </row>
    <row r="4">
      <c r="B4" t="str">
        <v>KG2</v>
      </c>
      <c r="C4">
        <f>'إحصاء الطلاب'!E4</f>
        <v>1</v>
      </c>
      <c r="D4">
        <f>'إحصاء الطلاب'!I4</f>
        <v>16</v>
      </c>
      <c r="E4">
        <f>(C4*25)-D4</f>
        <v>9</v>
      </c>
      <c r="F4" t="str">
        <v>الصف الثاني</v>
      </c>
      <c r="G4">
        <f>'إحصاء الطلاب'!E9+'إحصاء الطلاب'!E10</f>
        <v>1</v>
      </c>
      <c r="H4">
        <f>'إحصاء الطلاب'!I9</f>
        <v>17</v>
      </c>
      <c r="I4">
        <f>(G4*25)-H4</f>
        <v>8</v>
      </c>
      <c r="J4" t="str">
        <v>الصف الثاني</v>
      </c>
      <c r="K4">
        <f>'إحصاء الطلاب'!E30</f>
        <v>1</v>
      </c>
      <c r="L4">
        <f>'إحصاء الطلاب'!I30</f>
        <v>19</v>
      </c>
      <c r="M4">
        <f>(K4*25)-L4</f>
        <v>6</v>
      </c>
      <c r="N4" t="str">
        <v>الصف الثاني</v>
      </c>
      <c r="O4">
        <f>'إحصاء الطلاب'!E45</f>
        <v>3</v>
      </c>
      <c r="P4">
        <f>'إحصاء الطلاب'!I45</f>
        <v>72</v>
      </c>
      <c r="Q4">
        <f>(O4*25)-P4</f>
        <v>3</v>
      </c>
    </row>
    <row r="5">
      <c r="B5" t="str">
        <v>KG3</v>
      </c>
      <c r="C5">
        <f>'إحصاء الطلاب'!E5</f>
        <v>1</v>
      </c>
      <c r="D5">
        <f>'إحصاء الطلاب'!I5</f>
        <v>21</v>
      </c>
      <c r="E5">
        <f>(C5*25)-D5</f>
        <v>4</v>
      </c>
      <c r="F5" t="str">
        <v>الصف الثالث</v>
      </c>
      <c r="G5">
        <f>'إحصاء الطلاب'!E11+'إحصاء الطلاب'!E12</f>
        <v>2</v>
      </c>
      <c r="H5">
        <f>'إحصاء الطلاب'!I11</f>
        <v>37</v>
      </c>
      <c r="I5">
        <f>(G5*25)-H5</f>
        <v>13</v>
      </c>
      <c r="J5" t="str">
        <v>الصف الثالث</v>
      </c>
      <c r="K5">
        <f>'إحصاء الطلاب'!E31</f>
        <v>1</v>
      </c>
      <c r="L5">
        <f>'إحصاء الطلاب'!I31</f>
        <v>15</v>
      </c>
      <c r="M5">
        <f>(K5*25)-L5</f>
        <v>10</v>
      </c>
      <c r="N5" t="str">
        <v>الصف الثالث</v>
      </c>
      <c r="O5">
        <f>'إحصاء الطلاب'!E49</f>
        <v>2</v>
      </c>
      <c r="P5">
        <f>'إحصاء الطلاب'!I49</f>
        <v>69</v>
      </c>
      <c r="Q5">
        <f>(O5*25)-P5</f>
        <v>-19</v>
      </c>
    </row>
    <row r="6">
      <c r="B6" t="str">
        <v>اجمالي الشواغر</v>
      </c>
      <c r="C6">
        <f>E3+E4+E5</f>
        <v>32</v>
      </c>
      <c r="F6" t="str">
        <v>الصف الرابع</v>
      </c>
      <c r="G6">
        <f>'إحصاء الطلاب'!E13+'إحصاء الطلاب'!E14</f>
        <v>1</v>
      </c>
      <c r="H6">
        <f>'إحصاء الطلاب'!I13</f>
        <v>22</v>
      </c>
      <c r="I6">
        <f>(G6*25)-H6</f>
        <v>3</v>
      </c>
      <c r="J6" t="str">
        <v>اجمالي الشواغر</v>
      </c>
      <c r="K6">
        <f>M3+M4+M5</f>
        <v>27</v>
      </c>
      <c r="N6" t="str">
        <v>اجمالي الشواغر</v>
      </c>
      <c r="O6">
        <f>Q3+Q4+Q5</f>
        <v>-14</v>
      </c>
    </row>
    <row r="7">
      <c r="F7" t="str">
        <v>الصف الخامس</v>
      </c>
      <c r="G7">
        <f>'إحصاء الطلاب'!E15</f>
        <v>1</v>
      </c>
      <c r="H7">
        <f>'إحصاء الطلاب'!I15</f>
        <v>14</v>
      </c>
      <c r="I7">
        <f>(G7*25)-H7</f>
        <v>11</v>
      </c>
    </row>
    <row r="8">
      <c r="F8" t="str">
        <v>الصف السادس</v>
      </c>
      <c r="G8">
        <f>'إحصاء الطلاب'!E16</f>
        <v>1</v>
      </c>
      <c r="H8">
        <f>'إحصاء الطلاب'!G16</f>
        <v>9</v>
      </c>
      <c r="I8">
        <f>(G8*25)-H8</f>
        <v>16</v>
      </c>
    </row>
    <row r="9">
      <c r="F9" t="str">
        <v>اجمالي الشواغر</v>
      </c>
      <c r="G9">
        <f>I3+I4+I5+I6+I7+I8</f>
        <v>65</v>
      </c>
    </row>
    <row r="11">
      <c r="A11" t="str">
        <v>قسم البنين</v>
      </c>
      <c r="B11" t="str">
        <v>ابتدائي بنين</v>
      </c>
      <c r="C11" t="str">
        <v xml:space="preserve"> عدد الفصول</v>
      </c>
      <c r="D11" t="str">
        <v>عدد الطلاب</v>
      </c>
      <c r="E11" t="str">
        <v>الشواغر</v>
      </c>
      <c r="F11" t="str">
        <v>متوسط بنين</v>
      </c>
      <c r="G11" t="str">
        <v xml:space="preserve"> عدد الفصول</v>
      </c>
      <c r="H11" t="str">
        <v>عدد الطلاب</v>
      </c>
      <c r="I11" t="str">
        <v>الشواغر</v>
      </c>
      <c r="J11" t="str">
        <v>ثانوي بنين</v>
      </c>
      <c r="K11" t="str">
        <v xml:space="preserve"> عدد الفصول</v>
      </c>
      <c r="L11" t="str">
        <v>عدد الطلاب</v>
      </c>
      <c r="M11" t="str">
        <v>الشواغر</v>
      </c>
    </row>
    <row r="12">
      <c r="B12" t="str">
        <v>الصف الأول</v>
      </c>
      <c r="C12">
        <f>'إحصاء الطلاب'!E18</f>
        <v>2</v>
      </c>
      <c r="D12">
        <f>'إحصاء الطلاب'!I18</f>
        <v>44</v>
      </c>
      <c r="E12">
        <f>(C12*25)-D12</f>
        <v>6</v>
      </c>
      <c r="F12" t="str">
        <v>الصف الأول</v>
      </c>
      <c r="G12">
        <f>'إحصاء الطلاب'!E25</f>
        <v>3</v>
      </c>
      <c r="H12">
        <f>'إحصاء الطلاب'!I25</f>
        <v>69</v>
      </c>
      <c r="I12">
        <f>(G12*25)-H12</f>
        <v>6</v>
      </c>
      <c r="J12" t="str">
        <v>الصف الأول</v>
      </c>
      <c r="K12">
        <f>'إحصاء الطلاب'!E33+'إحصاء الطلاب'!E34</f>
        <v>8</v>
      </c>
      <c r="L12">
        <f>'إحصاء الطلاب'!I33+'إحصاء الطلاب'!I34</f>
        <v>203</v>
      </c>
      <c r="M12">
        <f>(K12*25)-L12</f>
        <v>-3</v>
      </c>
    </row>
    <row r="13">
      <c r="B13" t="str">
        <v>الصف الثاني</v>
      </c>
      <c r="C13">
        <f>'إحصاء الطلاب'!E19</f>
        <v>2</v>
      </c>
      <c r="D13">
        <f>'إحصاء الطلاب'!I19</f>
        <v>42</v>
      </c>
      <c r="E13">
        <f>(C13*25)-D13</f>
        <v>8</v>
      </c>
      <c r="F13" t="str">
        <v>الصف الثاني</v>
      </c>
      <c r="G13">
        <f>'إحصاء الطلاب'!E26</f>
        <v>3</v>
      </c>
      <c r="H13">
        <f>'إحصاء الطلاب'!I26</f>
        <v>67</v>
      </c>
      <c r="I13">
        <f>(G13*25)-H13</f>
        <v>8</v>
      </c>
      <c r="J13" t="str">
        <v>الصف الثاني</v>
      </c>
      <c r="K13">
        <f>'إحصاء الطلاب'!E35+'إحصاء الطلاب'!E36</f>
        <v>8</v>
      </c>
      <c r="L13">
        <f>'إحصاء الطلاب'!I35+'إحصاء الطلاب'!I36</f>
        <v>224</v>
      </c>
      <c r="M13">
        <f>(K13*25)-L13</f>
        <v>-24</v>
      </c>
    </row>
    <row r="14">
      <c r="B14" t="str">
        <v>الصف الثالث</v>
      </c>
      <c r="C14">
        <f>'إحصاء الطلاب'!E20</f>
        <v>2</v>
      </c>
      <c r="D14">
        <f>'إحصاء الطلاب'!I20</f>
        <v>36</v>
      </c>
      <c r="E14">
        <f>(C14*25)-D14</f>
        <v>14</v>
      </c>
      <c r="F14" t="str">
        <v>الصف الثالث</v>
      </c>
      <c r="G14">
        <f>'إحصاء الطلاب'!E27</f>
        <v>3</v>
      </c>
      <c r="H14">
        <f>'إحصاء الطلاب'!I27</f>
        <v>68</v>
      </c>
      <c r="I14">
        <f>(G14*25)-H14</f>
        <v>7</v>
      </c>
      <c r="J14" t="str">
        <v>الصف الثالث</v>
      </c>
      <c r="K14">
        <f>'إحصاء الطلاب'!E39</f>
        <v>7</v>
      </c>
      <c r="L14">
        <f>'إحصاء الطلاب'!I39</f>
        <v>237</v>
      </c>
      <c r="M14">
        <f>(K14*25)-L14</f>
        <v>-62</v>
      </c>
    </row>
    <row r="15">
      <c r="B15" t="str">
        <v>الصف الرابع</v>
      </c>
      <c r="C15">
        <f>'إحصاء الطلاب'!E21</f>
        <v>3</v>
      </c>
      <c r="D15">
        <f>'إحصاء الطلاب'!I21</f>
        <v>61</v>
      </c>
      <c r="E15">
        <f>(C15*25)-D15</f>
        <v>14</v>
      </c>
      <c r="F15" t="str">
        <v>اجمالي الشواغر</v>
      </c>
      <c r="G15">
        <f>I12+I13+I14</f>
        <v>21</v>
      </c>
      <c r="J15" t="str">
        <v>اجمالي الشواغر</v>
      </c>
      <c r="K15">
        <f>M12+M13+M14</f>
        <v>-89</v>
      </c>
    </row>
    <row r="16">
      <c r="B16" t="str">
        <v>الصف الخامس</v>
      </c>
      <c r="C16">
        <f>'إحصاء الطلاب'!E22</f>
        <v>2</v>
      </c>
      <c r="D16">
        <f>'إحصاء الطلاب'!I22</f>
        <v>52</v>
      </c>
      <c r="E16">
        <f>(C16*25)-D16</f>
        <v>-2</v>
      </c>
    </row>
    <row r="17">
      <c r="B17" t="str">
        <v>الصف السادس</v>
      </c>
      <c r="C17">
        <f>'إحصاء الطلاب'!E23</f>
        <v>2</v>
      </c>
      <c r="D17">
        <f>'إحصاء الطلاب'!I23</f>
        <v>38</v>
      </c>
      <c r="E17">
        <f>(C17*25)-D17</f>
        <v>12</v>
      </c>
    </row>
    <row r="18">
      <c r="B18" t="str">
        <v>اجمالي الشواغر</v>
      </c>
      <c r="C18">
        <f>E12+E13+E14+E15+E16+E17</f>
        <v>52</v>
      </c>
    </row>
  </sheetData>
  <mergeCells count="11">
    <mergeCell ref="A1:Q1"/>
    <mergeCell ref="A11:A18"/>
    <mergeCell ref="O6:Q6"/>
    <mergeCell ref="G15:I15"/>
    <mergeCell ref="K15:M15"/>
    <mergeCell ref="C18:E18"/>
    <mergeCell ref="A10:Q10"/>
    <mergeCell ref="C6:E6"/>
    <mergeCell ref="G9:I9"/>
    <mergeCell ref="K6:M6"/>
    <mergeCell ref="A2:A9"/>
  </mergeCells>
  <pageMargins left="0.7" right="0.7" top="0.75" bottom="0.75" header="0.3" footer="0.3"/>
  <ignoredErrors>
    <ignoredError numberStoredAsText="1" sqref="A1:Q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3"/>
  <sheetViews>
    <sheetView workbookViewId="0" rightToLeft="1"/>
  </sheetViews>
  <sheetData>
    <row r="1">
      <c r="A1" t="str">
        <v>مقارنة النمو بين اغلاق عام ١٤٤٦ وبداية عام ١٤٤٧</v>
      </c>
    </row>
    <row r="2">
      <c r="A2" t="str">
        <v>البيان</v>
      </c>
      <c r="B2" t="str">
        <v>تمهيدي</v>
      </c>
      <c r="C2" t="str">
        <v>ابتدائي بنات</v>
      </c>
      <c r="D2" t="str">
        <v>متوسط بنات</v>
      </c>
      <c r="E2" t="str">
        <v>ثانوي بنات</v>
      </c>
      <c r="F2" t="str">
        <v>ابتدائي بنين</v>
      </c>
      <c r="G2" t="str">
        <v>متوسط بنين</v>
      </c>
      <c r="H2" t="str">
        <v>ثانوي بنين</v>
      </c>
      <c r="I2" t="str">
        <v>مسار نون</v>
      </c>
      <c r="J2" t="str">
        <v>اجمالي المجمع</v>
      </c>
    </row>
    <row r="3">
      <c r="A3" t="str">
        <v>اغلاق ١٤٤٦</v>
      </c>
      <c r="B3">
        <v>24</v>
      </c>
      <c r="C3">
        <v>115</v>
      </c>
      <c r="D3">
        <v>51</v>
      </c>
      <c r="E3">
        <v>201</v>
      </c>
      <c r="F3">
        <v>243</v>
      </c>
      <c r="G3">
        <v>163</v>
      </c>
      <c r="H3">
        <v>313</v>
      </c>
      <c r="I3">
        <v>0</v>
      </c>
      <c r="J3">
        <f>SUM(B3:I3)</f>
        <v>1110</v>
      </c>
    </row>
    <row r="4">
      <c r="A4" t="str">
        <v>بدء ١٤٤٧</v>
      </c>
      <c r="B4">
        <v>35</v>
      </c>
      <c r="C4">
        <v>98</v>
      </c>
      <c r="D4">
        <v>47</v>
      </c>
      <c r="E4">
        <v>171</v>
      </c>
      <c r="F4">
        <v>267</v>
      </c>
      <c r="G4">
        <v>173</v>
      </c>
      <c r="H4">
        <v>325</v>
      </c>
      <c r="I4">
        <v>52</v>
      </c>
      <c r="J4">
        <f>SUM(B4:I4)</f>
        <v>1168</v>
      </c>
    </row>
    <row r="5">
      <c r="A5" t="str">
        <v>حالة النمو بداية الفصل الأول</v>
      </c>
      <c r="B5">
        <f>B4-B3</f>
        <v>11</v>
      </c>
      <c r="C5">
        <f>C4-C3</f>
        <v>-17</v>
      </c>
      <c r="D5">
        <f>D4-D3</f>
        <v>-4</v>
      </c>
      <c r="E5">
        <f>E4-E3</f>
        <v>-30</v>
      </c>
      <c r="F5">
        <f>F4-F3</f>
        <v>24</v>
      </c>
      <c r="G5">
        <f>G4-G3</f>
        <v>10</v>
      </c>
      <c r="H5">
        <f>H4-H3</f>
        <v>12</v>
      </c>
      <c r="I5">
        <f>I4-I3</f>
        <v>52</v>
      </c>
      <c r="J5">
        <f>J4-J3</f>
        <v>58</v>
      </c>
    </row>
    <row r="6">
      <c r="A6" t="str">
        <v>مقارنة النمو بين اغلاق الفصل الدراسي الأول ١٤٤٧ وبداية الفصل الدراسي الثاني ١٤٤٧</v>
      </c>
    </row>
    <row r="7">
      <c r="A7" t="str">
        <v>اغلاق الفصل الدراسي الأول ١٤٤٧</v>
      </c>
      <c r="B7">
        <v>35</v>
      </c>
      <c r="C7">
        <v>98</v>
      </c>
      <c r="D7">
        <v>47</v>
      </c>
      <c r="E7">
        <v>171</v>
      </c>
      <c r="F7">
        <v>266</v>
      </c>
      <c r="G7">
        <v>207</v>
      </c>
      <c r="H7">
        <v>568</v>
      </c>
      <c r="I7">
        <v>52</v>
      </c>
      <c r="J7">
        <f>SUM(B7:I7)</f>
        <v>1444</v>
      </c>
    </row>
    <row r="8">
      <c r="A8" t="str">
        <v>المنسحبين بنهاية الفصل الدراسي الأول ١٤٤٧</v>
      </c>
      <c r="B8">
        <v>0</v>
      </c>
      <c r="C8">
        <v>2</v>
      </c>
      <c r="D8">
        <v>0</v>
      </c>
      <c r="E8">
        <v>3</v>
      </c>
      <c r="F8">
        <v>6</v>
      </c>
      <c r="G8">
        <v>3</v>
      </c>
      <c r="H8">
        <v>6</v>
      </c>
      <c r="I8">
        <v>1</v>
      </c>
      <c r="J8">
        <f>SUM(B8:I8)</f>
        <v>21</v>
      </c>
    </row>
    <row r="9">
      <c r="A9" t="str">
        <v>الطلاب المنقطعين وتم طي قيدهم</v>
      </c>
      <c r="B9">
        <v>0</v>
      </c>
      <c r="C9">
        <v>0</v>
      </c>
      <c r="D9">
        <v>0</v>
      </c>
      <c r="E9">
        <v>0</v>
      </c>
      <c r="F9">
        <v>0</v>
      </c>
      <c r="G9">
        <v>3</v>
      </c>
      <c r="H9">
        <v>4</v>
      </c>
      <c r="I9">
        <v>0</v>
      </c>
      <c r="J9">
        <f>SUM(B9:I9)</f>
        <v>7</v>
      </c>
    </row>
    <row r="10">
      <c r="A10" t="str">
        <v>المسجلين الجدد بداية الفصل الدراسي الثاني ١٤٤٧</v>
      </c>
      <c r="B10">
        <v>4</v>
      </c>
      <c r="C10">
        <v>5</v>
      </c>
      <c r="D10">
        <v>1</v>
      </c>
      <c r="E10">
        <v>11</v>
      </c>
      <c r="F10">
        <v>4</v>
      </c>
      <c r="G10">
        <v>2</v>
      </c>
      <c r="H10">
        <v>21</v>
      </c>
      <c r="I10">
        <v>3</v>
      </c>
      <c r="J10">
        <f>SUM(B10:I10)</f>
        <v>51</v>
      </c>
    </row>
    <row r="11">
      <c r="A11" t="str">
        <v>حالة النمو بداية الفصل الثاني</v>
      </c>
      <c r="B11">
        <f>B12-B7</f>
        <v>4</v>
      </c>
      <c r="C11">
        <f>C12-C7</f>
        <v>3</v>
      </c>
      <c r="D11">
        <f>D12-D7</f>
        <v>1</v>
      </c>
      <c r="E11">
        <f>E12-E7</f>
        <v>8</v>
      </c>
      <c r="F11">
        <f>F12-F7</f>
        <v>-2</v>
      </c>
      <c r="G11">
        <f>G12-G7</f>
        <v>-4</v>
      </c>
      <c r="H11">
        <f>H12-H7</f>
        <v>11</v>
      </c>
      <c r="I11">
        <f>I12-I7</f>
        <v>2</v>
      </c>
      <c r="J11">
        <f>J12-J7</f>
        <v>23</v>
      </c>
    </row>
    <row r="12">
      <c r="A12" t="str">
        <v>اجمالي المجمع</v>
      </c>
      <c r="B12">
        <f>(B7-(B8+B9)+B10)</f>
        <v>39</v>
      </c>
      <c r="C12">
        <f>(C7-(C8+C9)+C10)</f>
        <v>101</v>
      </c>
      <c r="D12">
        <f>(D7-(D8+D9)+D10)</f>
        <v>48</v>
      </c>
      <c r="E12">
        <f>(E7-(E8+E9)+E10)</f>
        <v>179</v>
      </c>
      <c r="F12">
        <f>(F7-(F8+F9)+F10)</f>
        <v>264</v>
      </c>
      <c r="G12">
        <f>(G7-(G8+G9)+G10)</f>
        <v>203</v>
      </c>
      <c r="H12">
        <f>(H7-(H8+H9)+H10)</f>
        <v>579</v>
      </c>
      <c r="I12">
        <f>(I7-(I8+I9)+I10)</f>
        <v>54</v>
      </c>
      <c r="J12">
        <f>(J7-(J8+J9)+J10)</f>
        <v>1467</v>
      </c>
    </row>
    <row r="13">
      <c r="A13" t="str">
        <v>العدد بالحلول</v>
      </c>
      <c r="B13">
        <v>39</v>
      </c>
      <c r="C13">
        <v>107</v>
      </c>
      <c r="D13">
        <v>48</v>
      </c>
      <c r="E13">
        <v>180</v>
      </c>
      <c r="F13">
        <v>267</v>
      </c>
      <c r="G13">
        <v>202</v>
      </c>
      <c r="H13">
        <v>583</v>
      </c>
      <c r="I13">
        <v>54</v>
      </c>
      <c r="J13">
        <f>SUM(B13:I13)</f>
        <v>1480</v>
      </c>
    </row>
  </sheetData>
  <mergeCells count="2">
    <mergeCell ref="A1:J1"/>
    <mergeCell ref="A6:J6"/>
  </mergeCells>
  <pageMargins left="0.7" right="0.7" top="0.75" bottom="0.75" header="0.3" footer="0.3"/>
  <ignoredErrors>
    <ignoredError numberStoredAsText="1" sqref="A1:J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1"/>
  </sheetViews>
  <sheetData>
    <row r="1">
      <c r="A1" t="str">
        <v xml:space="preserve">احصاء العاملين بالمجمع </v>
      </c>
    </row>
    <row r="2">
      <c r="A2" t="str">
        <v>المرحلة</v>
      </c>
      <c r="B2" t="str">
        <v>الجنس</v>
      </c>
      <c r="D2" t="str">
        <v>معلمين - معلمات</v>
      </c>
      <c r="F2" t="str">
        <v>اداريين - اداريات</v>
      </c>
      <c r="H2" t="str">
        <v>عامل - عاملة</v>
      </c>
      <c r="I2" t="str">
        <v>سائق</v>
      </c>
      <c r="J2" t="str">
        <v>حارس</v>
      </c>
      <c r="K2" t="str">
        <v>إجمالي الطواقم</v>
      </c>
    </row>
    <row r="4">
      <c r="D4" t="str">
        <v>سعودي</v>
      </c>
      <c r="E4" t="str">
        <v>غير سعودي</v>
      </c>
      <c r="F4" t="str">
        <v>سعودي</v>
      </c>
      <c r="G4" t="str">
        <v>غير سعودي</v>
      </c>
    </row>
    <row r="5">
      <c r="A5" t="str">
        <v>ادارة المجمع</v>
      </c>
      <c r="D5">
        <v>0</v>
      </c>
      <c r="E5">
        <v>0</v>
      </c>
      <c r="F5">
        <v>2</v>
      </c>
      <c r="G5">
        <v>2</v>
      </c>
      <c r="H5">
        <v>1</v>
      </c>
      <c r="I5">
        <v>0</v>
      </c>
      <c r="J5">
        <v>0</v>
      </c>
      <c r="K5">
        <f>SUM(D5:J5)</f>
        <v>5</v>
      </c>
    </row>
    <row r="6">
      <c r="A6" t="str">
        <v xml:space="preserve">تربية خاصة </v>
      </c>
      <c r="B6" t="str">
        <v>بنات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B7" t="str">
        <v>بنين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تمهيدي</v>
      </c>
      <c r="B8" t="str">
        <v>بنات</v>
      </c>
      <c r="D8">
        <v>2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f>SUM(D8:J8)</f>
        <v>4</v>
      </c>
    </row>
    <row r="9">
      <c r="A9" t="str">
        <v>ابتدائي</v>
      </c>
      <c r="B9" t="str">
        <v>بنين</v>
      </c>
      <c r="D9">
        <v>1</v>
      </c>
      <c r="E9">
        <v>17</v>
      </c>
      <c r="F9">
        <v>0</v>
      </c>
      <c r="G9">
        <v>3</v>
      </c>
      <c r="H9">
        <v>2</v>
      </c>
      <c r="I9">
        <v>0</v>
      </c>
      <c r="J9">
        <v>1</v>
      </c>
      <c r="K9">
        <f>SUM(D9:J9)</f>
        <v>24</v>
      </c>
    </row>
    <row r="10">
      <c r="B10" t="str">
        <v>بنات</v>
      </c>
      <c r="D10">
        <v>8</v>
      </c>
      <c r="E10">
        <v>1</v>
      </c>
      <c r="F10">
        <v>1</v>
      </c>
      <c r="G10">
        <v>0</v>
      </c>
      <c r="H10">
        <v>1</v>
      </c>
      <c r="I10">
        <v>0</v>
      </c>
      <c r="J10">
        <v>1</v>
      </c>
      <c r="K10">
        <f>SUM(D10:J10)</f>
        <v>12</v>
      </c>
    </row>
    <row r="11">
      <c r="A11" t="str">
        <v>متوسط</v>
      </c>
      <c r="B11" t="str">
        <v>بنين</v>
      </c>
      <c r="D11">
        <v>3</v>
      </c>
      <c r="E11">
        <v>10</v>
      </c>
      <c r="F11">
        <v>1</v>
      </c>
      <c r="G11">
        <v>1</v>
      </c>
      <c r="H11">
        <v>0</v>
      </c>
      <c r="I11">
        <v>0</v>
      </c>
      <c r="J11">
        <v>0</v>
      </c>
      <c r="K11">
        <f>SUM(D11:J11)</f>
        <v>15</v>
      </c>
    </row>
    <row r="12">
      <c r="B12" t="str">
        <v>بنات</v>
      </c>
      <c r="D12">
        <v>4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f>SUM(D12:J12)</f>
        <v>5</v>
      </c>
    </row>
    <row r="13">
      <c r="A13" t="str">
        <v>ثانوي</v>
      </c>
      <c r="B13" t="str">
        <v>بنين</v>
      </c>
      <c r="D13">
        <v>4</v>
      </c>
      <c r="E13">
        <v>23</v>
      </c>
      <c r="F13">
        <v>4</v>
      </c>
      <c r="G13">
        <v>2</v>
      </c>
      <c r="H13">
        <v>2</v>
      </c>
      <c r="I13">
        <v>0</v>
      </c>
      <c r="J13">
        <v>1</v>
      </c>
      <c r="K13">
        <f>SUM(D13:J13)</f>
        <v>36</v>
      </c>
    </row>
    <row r="14">
      <c r="B14" t="str">
        <v>بنات</v>
      </c>
      <c r="D14">
        <v>9</v>
      </c>
      <c r="E14">
        <v>1</v>
      </c>
      <c r="F14">
        <v>5</v>
      </c>
      <c r="G14">
        <v>0</v>
      </c>
      <c r="H14">
        <v>0</v>
      </c>
      <c r="I14">
        <v>0</v>
      </c>
      <c r="J14">
        <v>0</v>
      </c>
      <c r="K14">
        <f>SUM(D14:J14)</f>
        <v>15</v>
      </c>
    </row>
    <row r="15">
      <c r="A15" t="str">
        <v>اجماليات المجمع</v>
      </c>
      <c r="B15" t="str">
        <v>الفئة</v>
      </c>
      <c r="D15" t="str">
        <v>اجماليات</v>
      </c>
    </row>
    <row r="16">
      <c r="B16" t="str">
        <v>معلمين</v>
      </c>
      <c r="D16">
        <f>D9+D11+D13</f>
        <v>8</v>
      </c>
      <c r="E16">
        <f>E9+E11+E13</f>
        <v>50</v>
      </c>
      <c r="I16" t="str">
        <v>اجمالي معلمين</v>
      </c>
      <c r="K16">
        <f>SUM(D16:E16)</f>
        <v>58</v>
      </c>
    </row>
    <row r="17">
      <c r="B17" t="str">
        <v>معلمات</v>
      </c>
      <c r="D17">
        <f>D8+D10+D12+D14</f>
        <v>23</v>
      </c>
      <c r="E17">
        <f>E8+E10+E12+E14</f>
        <v>2</v>
      </c>
      <c r="I17" t="str">
        <v>اجمالي معلمات</v>
      </c>
      <c r="K17">
        <f>SUM(D17:E17)</f>
        <v>25</v>
      </c>
    </row>
    <row r="18">
      <c r="B18" t="str">
        <v>اداريين</v>
      </c>
      <c r="D18">
        <f>F9+F11+F13</f>
        <v>5</v>
      </c>
      <c r="E18">
        <f>G9+G11+G13</f>
        <v>6</v>
      </c>
      <c r="I18" t="str">
        <v>اجمالي اداريين</v>
      </c>
      <c r="K18">
        <f>SUM(D18:E18)</f>
        <v>11</v>
      </c>
    </row>
    <row r="19">
      <c r="B19" t="str">
        <v>اداريات</v>
      </c>
      <c r="D19">
        <f>F8+F10+F12+F14</f>
        <v>8</v>
      </c>
      <c r="E19">
        <f>G8+G10+G12+G14</f>
        <v>0</v>
      </c>
      <c r="I19" t="str">
        <v>اجمالي اداريات</v>
      </c>
      <c r="K19">
        <f>SUM(D19:E19)</f>
        <v>8</v>
      </c>
    </row>
    <row r="20">
      <c r="B20" t="str">
        <v>خدمات مساندة</v>
      </c>
      <c r="D20" t="str">
        <v>عمال</v>
      </c>
      <c r="E20">
        <f>SUM(H5:H14)</f>
        <v>7</v>
      </c>
    </row>
    <row r="21">
      <c r="D21" t="str">
        <v>سائقين</v>
      </c>
      <c r="E21">
        <v>0</v>
      </c>
    </row>
    <row r="22">
      <c r="D22" t="str">
        <v>حارس</v>
      </c>
      <c r="E22">
        <f>SUM(J5:J14)</f>
        <v>3</v>
      </c>
    </row>
    <row r="23">
      <c r="B23" t="str">
        <v>الطواقم</v>
      </c>
      <c r="D23" t="str">
        <v>طاقم تعليمي</v>
      </c>
      <c r="E23" t="str">
        <v>طاقم اداري</v>
      </c>
      <c r="F23" t="str">
        <v>خدمات مساندة</v>
      </c>
      <c r="H23" t="str">
        <v>إدارة تشغيلية عامة</v>
      </c>
      <c r="I23" t="str">
        <v>إدارة المجمع</v>
      </c>
      <c r="K23" t="str">
        <v>اجمالي المجمع</v>
      </c>
    </row>
    <row r="24">
      <c r="F24" t="str">
        <v>داخلي</v>
      </c>
      <c r="G24" t="str">
        <v>خارجي</v>
      </c>
    </row>
    <row r="25">
      <c r="B25" t="str">
        <v>الإجمالي</v>
      </c>
      <c r="D25">
        <f>K16+K17</f>
        <v>83</v>
      </c>
      <c r="E25">
        <f>K18+K19</f>
        <v>19</v>
      </c>
      <c r="F25">
        <f>E20+E22</f>
        <v>10</v>
      </c>
      <c r="G25">
        <v>3</v>
      </c>
      <c r="H25">
        <v>2</v>
      </c>
      <c r="I25">
        <f>F5+G5</f>
        <v>4</v>
      </c>
      <c r="K25">
        <f>SUM(D25:I25)</f>
        <v>121</v>
      </c>
    </row>
  </sheetData>
  <mergeCells count="46">
    <mergeCell ref="A9:A10"/>
    <mergeCell ref="A11:A12"/>
    <mergeCell ref="B11:C11"/>
    <mergeCell ref="B12:C12"/>
    <mergeCell ref="A13:A14"/>
    <mergeCell ref="B13:C13"/>
    <mergeCell ref="B14:C14"/>
    <mergeCell ref="B9:C9"/>
    <mergeCell ref="B10:C10"/>
    <mergeCell ref="A5:C5"/>
    <mergeCell ref="A6:A7"/>
    <mergeCell ref="B6:C6"/>
    <mergeCell ref="B7:C7"/>
    <mergeCell ref="B8:C8"/>
    <mergeCell ref="A1:K1"/>
    <mergeCell ref="A2:A4"/>
    <mergeCell ref="B2:C4"/>
    <mergeCell ref="D2:E3"/>
    <mergeCell ref="F2:G3"/>
    <mergeCell ref="H2:H4"/>
    <mergeCell ref="I2:I4"/>
    <mergeCell ref="J2:J4"/>
    <mergeCell ref="K2:K4"/>
    <mergeCell ref="A15:A25"/>
    <mergeCell ref="B15:C15"/>
    <mergeCell ref="D15:K15"/>
    <mergeCell ref="B16:C16"/>
    <mergeCell ref="F16:H22"/>
    <mergeCell ref="I16:J16"/>
    <mergeCell ref="B17:C17"/>
    <mergeCell ref="I17:J17"/>
    <mergeCell ref="B18:C18"/>
    <mergeCell ref="I18:J18"/>
    <mergeCell ref="B19:C19"/>
    <mergeCell ref="I19:J19"/>
    <mergeCell ref="B20:C22"/>
    <mergeCell ref="B25:C25"/>
    <mergeCell ref="I20:K22"/>
    <mergeCell ref="B23:C24"/>
    <mergeCell ref="K23:K24"/>
    <mergeCell ref="J23:J25"/>
    <mergeCell ref="D23:D24"/>
    <mergeCell ref="E23:E24"/>
    <mergeCell ref="F23:G23"/>
    <mergeCell ref="H23:H24"/>
    <mergeCell ref="I23:I24"/>
  </mergeCells>
  <pageMargins left="0.7" right="0.7" top="0.75" bottom="0.75" header="0.3" footer="0.3"/>
  <ignoredErrors>
    <ignoredError numberStoredAsText="1" sqref="A1:K2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H139"/>
  <sheetViews>
    <sheetView workbookViewId="0" rightToLeft="1"/>
  </sheetViews>
  <sheetData>
    <row r="1">
      <c r="A1" t="str">
        <v>ر.الموظف</v>
      </c>
      <c r="B1" t="str">
        <v>القسم</v>
      </c>
      <c r="C1" t="str">
        <v>اسم الموظف</v>
      </c>
      <c r="D1" t="str">
        <v>ملاحظات</v>
      </c>
      <c r="E1" t="str">
        <v>المدير المباشر</v>
      </c>
      <c r="F1" t="str">
        <v>تاريخ الميلاد</v>
      </c>
      <c r="G1" t="str">
        <v>ر.الهويه</v>
      </c>
      <c r="H1" t="str">
        <v>تاريخ المباشرة</v>
      </c>
      <c r="I1" t="str">
        <v>تاريخ التعيين</v>
      </c>
      <c r="J1" t="str">
        <v>الفئة الوظيفية</v>
      </c>
      <c r="K1" t="str">
        <v>علي رأس العمل</v>
      </c>
      <c r="L1" t="str">
        <v>الجنسيـــــــة</v>
      </c>
      <c r="M1" t="str">
        <v>الديانة</v>
      </c>
      <c r="N1" t="str">
        <v>الحالة الاجتماعية</v>
      </c>
      <c r="O1" t="str">
        <v>مكان الميلاد</v>
      </c>
      <c r="P1" t="str">
        <v>مسؤول موارد بشرية</v>
      </c>
      <c r="Q1" t="str">
        <v>الوظيفة الحالية</v>
      </c>
      <c r="R1" t="str">
        <v>مده الخبره فى الخارج</v>
      </c>
      <c r="S1" t="str">
        <v>مده الخبره فى الداخل</v>
      </c>
      <c r="T1" t="str">
        <v>اجمالي الخبرة</v>
      </c>
      <c r="U1" t="str">
        <v>رقم الجوال</v>
      </c>
      <c r="V1" t="str">
        <v>رقم الجوال 2</v>
      </c>
      <c r="W1" t="str">
        <v>رقم الهاتف</v>
      </c>
      <c r="X1" t="str">
        <v>البريد الالكتروني</v>
      </c>
      <c r="Y1" t="str">
        <v>شركة التأمين</v>
      </c>
      <c r="Z1" t="str">
        <v>اسم الفئة التأمينية</v>
      </c>
      <c r="AA1" t="str">
        <v>تاريخ بداية التأمين</v>
      </c>
      <c r="AB1" t="str">
        <v>تاريخ نهاية وثيقة التأمين</v>
      </c>
      <c r="AC1" t="str">
        <v>طريقة الدفع</v>
      </c>
      <c r="AD1" t="str">
        <v>IBAN</v>
      </c>
      <c r="AE1" t="str">
        <v>ر.البصمه</v>
      </c>
      <c r="AF1" t="str">
        <v>موقوف</v>
      </c>
      <c r="AG1" t="str">
        <v>المنطقة</v>
      </c>
      <c r="AH1" t="str">
        <v>الفرع</v>
      </c>
    </row>
    <row r="2">
      <c r="A2">
        <v>24</v>
      </c>
      <c r="B2" t="str">
        <v>ابتدائي</v>
      </c>
      <c r="C2" t="str">
        <v>عمرو عبد التواب عطا عطية</v>
      </c>
      <c r="E2" t="str">
        <v>نورة محمد عاتق العتيبي</v>
      </c>
      <c r="F2">
        <v>31370</v>
      </c>
      <c r="G2" t="str">
        <v>2312391994</v>
      </c>
      <c r="H2">
        <v>40974</v>
      </c>
      <c r="I2">
        <v>40974</v>
      </c>
      <c r="J2" t="str">
        <v>مقيم تأمينات</v>
      </c>
      <c r="K2" t="str">
        <v>نعم</v>
      </c>
      <c r="L2" t="str">
        <v>مصر</v>
      </c>
      <c r="M2" t="str">
        <v>مسلم</v>
      </c>
      <c r="N2" t="str">
        <v>متزوج</v>
      </c>
      <c r="O2" t="str">
        <v>مصر</v>
      </c>
      <c r="P2" t="str">
        <v>لا</v>
      </c>
      <c r="Q2" t="str">
        <v>معلم</v>
      </c>
      <c r="S2" t="str">
        <v xml:space="preserve">12 سنه 5 شهر 30 يوم </v>
      </c>
      <c r="T2" t="str">
        <v>12</v>
      </c>
      <c r="U2" t="str">
        <v>540219538</v>
      </c>
      <c r="X2" t="str">
        <v>2312391994@al-tanmiah.com</v>
      </c>
      <c r="AC2" t="str">
        <v>بنك</v>
      </c>
      <c r="AD2" t="str">
        <v>SA0705000068203544457000</v>
      </c>
      <c r="AE2" t="str">
        <v>24</v>
      </c>
      <c r="AF2" t="str">
        <v>لا</v>
      </c>
      <c r="AG2" t="str">
        <v>الرياض</v>
      </c>
      <c r="AH2" t="str">
        <v>مدارس دار القلم</v>
      </c>
    </row>
    <row r="3">
      <c r="A3">
        <v>25</v>
      </c>
      <c r="B3" t="str">
        <v>إدارة المجمع</v>
      </c>
      <c r="C3" t="str">
        <v>محمود ابو الغيط عبد العاطى عبد الجليل</v>
      </c>
      <c r="E3" t="str">
        <v>معن هاني بن محمد البشر</v>
      </c>
      <c r="F3">
        <v>32242</v>
      </c>
      <c r="G3" t="str">
        <v>2312390889</v>
      </c>
      <c r="H3">
        <v>40813</v>
      </c>
      <c r="I3">
        <v>40813</v>
      </c>
      <c r="J3" t="str">
        <v>مقيم تأمينات</v>
      </c>
      <c r="K3" t="str">
        <v>نعم</v>
      </c>
      <c r="L3" t="str">
        <v>مصر</v>
      </c>
      <c r="M3" t="str">
        <v>مسلم</v>
      </c>
      <c r="N3" t="str">
        <v>متزوج</v>
      </c>
      <c r="O3" t="str">
        <v>مصر</v>
      </c>
      <c r="P3" t="str">
        <v>لا</v>
      </c>
      <c r="Q3" t="str">
        <v>منسق</v>
      </c>
      <c r="S3" t="str">
        <v xml:space="preserve">12 سنه 11 شهر 9 يوم </v>
      </c>
      <c r="T3" t="str">
        <v>13</v>
      </c>
      <c r="U3" t="str">
        <v>540357053</v>
      </c>
      <c r="X3" t="str">
        <v>2312390889@al-tanmiah.com</v>
      </c>
      <c r="AC3" t="str">
        <v>بنك</v>
      </c>
      <c r="AD3" t="str">
        <v>SA2405000068201813540000</v>
      </c>
      <c r="AE3" t="str">
        <v>25</v>
      </c>
      <c r="AF3" t="str">
        <v>لا</v>
      </c>
      <c r="AG3" t="str">
        <v>الرياض</v>
      </c>
      <c r="AH3" t="str">
        <v>مدارس دار القلم</v>
      </c>
    </row>
    <row r="4">
      <c r="A4">
        <v>26</v>
      </c>
      <c r="B4" t="str">
        <v>ابتدائي</v>
      </c>
      <c r="C4" t="str">
        <v>طارق عبد الظاهر بيومي سيد أحمد</v>
      </c>
      <c r="E4" t="str">
        <v>نورة محمد عاتق العتيبي</v>
      </c>
      <c r="F4">
        <v>23449</v>
      </c>
      <c r="G4" t="str">
        <v>2422170593</v>
      </c>
      <c r="H4">
        <v>42631</v>
      </c>
      <c r="I4">
        <v>42631</v>
      </c>
      <c r="J4" t="str">
        <v>مقيم تأمينات</v>
      </c>
      <c r="K4" t="str">
        <v>نعم</v>
      </c>
      <c r="L4" t="str">
        <v>مصر</v>
      </c>
      <c r="M4" t="str">
        <v>مسلم</v>
      </c>
      <c r="N4" t="str">
        <v>متزوج</v>
      </c>
      <c r="O4" t="str">
        <v>مصر</v>
      </c>
      <c r="P4" t="str">
        <v>لا</v>
      </c>
      <c r="Q4" t="str">
        <v>معلم</v>
      </c>
      <c r="S4" t="str">
        <v xml:space="preserve">7 سنه 11 شهر 18 يوم </v>
      </c>
      <c r="T4" t="str">
        <v>8</v>
      </c>
      <c r="U4" t="str">
        <v>562987348</v>
      </c>
      <c r="X4" t="str">
        <v>2422170593@al-tanmiah.com</v>
      </c>
      <c r="AC4" t="str">
        <v>بنك</v>
      </c>
      <c r="AD4" t="str">
        <v>SA4805000068204540118000</v>
      </c>
      <c r="AE4" t="str">
        <v>26</v>
      </c>
      <c r="AF4" t="str">
        <v>لا</v>
      </c>
      <c r="AG4" t="str">
        <v>الرياض</v>
      </c>
      <c r="AH4" t="str">
        <v>مدارس دار القلم</v>
      </c>
    </row>
    <row r="5">
      <c r="A5">
        <v>27</v>
      </c>
      <c r="B5" t="str">
        <v>ابتدائي</v>
      </c>
      <c r="C5" t="str">
        <v>رامي محمد يسن معروف</v>
      </c>
      <c r="E5" t="str">
        <v>نورة محمد عاتق العتيبي</v>
      </c>
      <c r="F5">
        <v>32599</v>
      </c>
      <c r="G5" t="str">
        <v>2422462180</v>
      </c>
      <c r="H5">
        <v>42634</v>
      </c>
      <c r="I5">
        <v>42634</v>
      </c>
      <c r="J5" t="str">
        <v>مقيم تأمينات</v>
      </c>
      <c r="K5" t="str">
        <v>نعم</v>
      </c>
      <c r="L5" t="str">
        <v>مصر</v>
      </c>
      <c r="M5" t="str">
        <v>مسلم</v>
      </c>
      <c r="N5" t="str">
        <v>أعزب</v>
      </c>
      <c r="O5" t="str">
        <v>مصر</v>
      </c>
      <c r="P5" t="str">
        <v>لا</v>
      </c>
      <c r="Q5" t="str">
        <v>معلم</v>
      </c>
      <c r="S5" t="str">
        <v xml:space="preserve">7 سنه 11 شهر 15 يوم </v>
      </c>
      <c r="T5" t="str">
        <v>8</v>
      </c>
      <c r="U5" t="str">
        <v>580934865</v>
      </c>
      <c r="X5" t="str">
        <v>2422462180@al-tanmiah.com</v>
      </c>
      <c r="AC5" t="str">
        <v>بنك</v>
      </c>
      <c r="AD5" t="str">
        <v>SA0505000068204540105000</v>
      </c>
      <c r="AE5" t="str">
        <v>27</v>
      </c>
      <c r="AF5" t="str">
        <v>لا</v>
      </c>
      <c r="AG5" t="str">
        <v>الرياض</v>
      </c>
      <c r="AH5" t="str">
        <v>مدارس دار القلم</v>
      </c>
    </row>
    <row r="6">
      <c r="A6">
        <v>28</v>
      </c>
      <c r="B6" t="str">
        <v>ابتدائي</v>
      </c>
      <c r="C6" t="str">
        <v>محمد السيد كامل الغباشي</v>
      </c>
      <c r="E6" t="str">
        <v>نورة محمد عاتق العتيبي</v>
      </c>
      <c r="F6">
        <v>30478</v>
      </c>
      <c r="G6" t="str">
        <v>2422497111</v>
      </c>
      <c r="H6">
        <v>42647</v>
      </c>
      <c r="I6">
        <v>42647</v>
      </c>
      <c r="J6" t="str">
        <v>مقيم تأمينات</v>
      </c>
      <c r="K6" t="str">
        <v>نعم</v>
      </c>
      <c r="L6" t="str">
        <v>مصر</v>
      </c>
      <c r="M6" t="str">
        <v>مسلم</v>
      </c>
      <c r="N6" t="str">
        <v>متزوج</v>
      </c>
      <c r="O6" t="str">
        <v>مصر</v>
      </c>
      <c r="P6" t="str">
        <v>لا</v>
      </c>
      <c r="Q6" t="str">
        <v>معلم</v>
      </c>
      <c r="S6" t="str">
        <v xml:space="preserve">7 سنه 11 شهر 1 يوم </v>
      </c>
      <c r="T6" t="str">
        <v>8</v>
      </c>
      <c r="U6" t="str">
        <v>569424470</v>
      </c>
      <c r="X6" t="str">
        <v>2422497111@al-tanmiah.com</v>
      </c>
      <c r="AC6" t="str">
        <v>بنك</v>
      </c>
      <c r="AD6" t="str">
        <v>SA0705000068202521592000</v>
      </c>
      <c r="AE6" t="str">
        <v>28</v>
      </c>
      <c r="AF6" t="str">
        <v>لا</v>
      </c>
      <c r="AG6" t="str">
        <v>الرياض</v>
      </c>
      <c r="AH6" t="str">
        <v>مدارس دار القلم</v>
      </c>
    </row>
    <row r="7">
      <c r="A7">
        <v>29</v>
      </c>
      <c r="B7" t="str">
        <v>ابتدائي</v>
      </c>
      <c r="C7" t="str">
        <v>حسن علي ذياب الخطيب</v>
      </c>
      <c r="E7" t="str">
        <v>نورة محمد عاتق العتيبي</v>
      </c>
      <c r="F7">
        <v>25231</v>
      </c>
      <c r="G7" t="str">
        <v>2295913624</v>
      </c>
      <c r="H7">
        <v>44430</v>
      </c>
      <c r="I7">
        <v>44430</v>
      </c>
      <c r="J7" t="str">
        <v>مقيم تأمينات</v>
      </c>
      <c r="K7" t="str">
        <v>نعم</v>
      </c>
      <c r="L7" t="str">
        <v>الأردن</v>
      </c>
      <c r="M7" t="str">
        <v>مسلم</v>
      </c>
      <c r="N7" t="str">
        <v>متزوج</v>
      </c>
      <c r="O7" t="str">
        <v>الأردن</v>
      </c>
      <c r="P7" t="str">
        <v>لا</v>
      </c>
      <c r="Q7" t="str">
        <v>معلم</v>
      </c>
      <c r="S7" t="str">
        <v xml:space="preserve">3 سنه 0 شهر 14 يوم </v>
      </c>
      <c r="T7" t="str">
        <v>3</v>
      </c>
      <c r="U7" t="str">
        <v>568795892</v>
      </c>
      <c r="X7" t="str">
        <v>2295913624@al-tanmiah.com</v>
      </c>
      <c r="AC7" t="str">
        <v>بنك</v>
      </c>
      <c r="AD7" t="str">
        <v>SA5705000068201899501000</v>
      </c>
      <c r="AE7" t="str">
        <v>29</v>
      </c>
      <c r="AF7" t="str">
        <v>لا</v>
      </c>
      <c r="AG7" t="str">
        <v>الرياض</v>
      </c>
      <c r="AH7" t="str">
        <v>مدارس دار القلم</v>
      </c>
    </row>
    <row r="8">
      <c r="A8">
        <v>30</v>
      </c>
      <c r="B8" t="str">
        <v>متوسط</v>
      </c>
      <c r="C8" t="str">
        <v>ابو السعود معاويه ابو السعود محمد</v>
      </c>
      <c r="E8" t="str">
        <v>معن هاني بن محمد البشر</v>
      </c>
      <c r="F8">
        <v>35797</v>
      </c>
      <c r="G8" t="str">
        <v>2474277379</v>
      </c>
      <c r="H8">
        <v>44452</v>
      </c>
      <c r="I8">
        <v>44452</v>
      </c>
      <c r="J8" t="str">
        <v>مقيم تأمينات</v>
      </c>
      <c r="K8" t="str">
        <v>نعم</v>
      </c>
      <c r="L8" t="str">
        <v>السودان</v>
      </c>
      <c r="M8" t="str">
        <v>مسلم</v>
      </c>
      <c r="N8" t="str">
        <v>أعزب</v>
      </c>
      <c r="O8" t="str">
        <v>السودان</v>
      </c>
      <c r="P8" t="str">
        <v>لا</v>
      </c>
      <c r="Q8" t="str">
        <v>منقذ سباحة</v>
      </c>
      <c r="S8" t="str">
        <v xml:space="preserve">2 سنه 11 شهر 23 يوم </v>
      </c>
      <c r="T8" t="str">
        <v>3</v>
      </c>
      <c r="U8" t="str">
        <v>560508651</v>
      </c>
      <c r="X8" t="str">
        <v>2474277379@al-tanmiah.com</v>
      </c>
      <c r="AC8" t="str">
        <v>بنك</v>
      </c>
      <c r="AD8" t="str">
        <v>SA8305000068204505274000</v>
      </c>
      <c r="AE8" t="str">
        <v>30</v>
      </c>
      <c r="AF8" t="str">
        <v>لا</v>
      </c>
      <c r="AG8" t="str">
        <v>الرياض</v>
      </c>
      <c r="AH8" t="str">
        <v>مدارس دار القلم</v>
      </c>
    </row>
    <row r="9">
      <c r="A9">
        <v>33</v>
      </c>
      <c r="B9" t="str">
        <v>متوسط</v>
      </c>
      <c r="C9" t="str">
        <v>محمود صابر محمود سعيد</v>
      </c>
      <c r="E9" t="str">
        <v>نورة محمد عاتق العتيبي</v>
      </c>
      <c r="F9">
        <v>31004</v>
      </c>
      <c r="G9" t="str">
        <v>2265322129</v>
      </c>
      <c r="H9">
        <v>39732</v>
      </c>
      <c r="I9">
        <v>39732</v>
      </c>
      <c r="J9" t="str">
        <v>مقيم تأمينات</v>
      </c>
      <c r="K9" t="str">
        <v>نعم</v>
      </c>
      <c r="L9" t="str">
        <v>مصر</v>
      </c>
      <c r="M9" t="str">
        <v>مسلم</v>
      </c>
      <c r="N9" t="str">
        <v>متزوج</v>
      </c>
      <c r="O9" t="str">
        <v>مصر</v>
      </c>
      <c r="P9" t="str">
        <v>لا</v>
      </c>
      <c r="Q9" t="str">
        <v>معلم</v>
      </c>
      <c r="S9" t="str">
        <v xml:space="preserve">15 سنه 10 شهر 25 يوم </v>
      </c>
      <c r="T9" t="str">
        <v>16</v>
      </c>
      <c r="U9" t="str">
        <v>559462197</v>
      </c>
      <c r="X9" t="str">
        <v>2265322129@al-tanmiah.com</v>
      </c>
      <c r="AC9" t="str">
        <v>بنك</v>
      </c>
      <c r="AD9" t="str">
        <v>SA3005000068204495179000</v>
      </c>
      <c r="AE9" t="str">
        <v>33</v>
      </c>
      <c r="AF9" t="str">
        <v>لا</v>
      </c>
      <c r="AG9" t="str">
        <v>الرياض</v>
      </c>
      <c r="AH9" t="str">
        <v>مدارس دار القلم</v>
      </c>
    </row>
    <row r="10">
      <c r="A10">
        <v>44</v>
      </c>
      <c r="B10" t="str">
        <v>ثانوي</v>
      </c>
      <c r="C10" t="str">
        <v>امير ابراهيم جلال عبدالله</v>
      </c>
      <c r="E10" t="str">
        <v>نورة محمد عاتق العتيبي</v>
      </c>
      <c r="F10">
        <v>30205</v>
      </c>
      <c r="G10" t="str">
        <v>2320558105</v>
      </c>
      <c r="H10">
        <v>40987</v>
      </c>
      <c r="I10">
        <v>40987</v>
      </c>
      <c r="J10" t="str">
        <v>مقيم تأمينات</v>
      </c>
      <c r="K10" t="str">
        <v>نعم</v>
      </c>
      <c r="L10" t="str">
        <v>مصر</v>
      </c>
      <c r="M10" t="str">
        <v>مسلم</v>
      </c>
      <c r="N10" t="str">
        <v>متزوج</v>
      </c>
      <c r="O10" t="str">
        <v>مصر</v>
      </c>
      <c r="P10" t="str">
        <v>لا</v>
      </c>
      <c r="Q10" t="str">
        <v>معلم</v>
      </c>
      <c r="S10" t="str">
        <v xml:space="preserve">12 سنه 5 شهر 17 يوم </v>
      </c>
      <c r="T10" t="str">
        <v>12</v>
      </c>
      <c r="U10" t="str">
        <v>561584133</v>
      </c>
      <c r="X10" t="str">
        <v>2320558105@al-tanmiah.com</v>
      </c>
      <c r="AC10" t="str">
        <v>بنك</v>
      </c>
      <c r="AD10" t="str">
        <v>SA2105000068201450238000</v>
      </c>
      <c r="AE10" t="str">
        <v>44</v>
      </c>
      <c r="AF10" t="str">
        <v>لا</v>
      </c>
      <c r="AG10" t="str">
        <v>الرياض</v>
      </c>
      <c r="AH10" t="str">
        <v>مدارس دار القلم</v>
      </c>
    </row>
    <row r="11">
      <c r="A11">
        <v>47</v>
      </c>
      <c r="B11" t="str">
        <v>ثانوي</v>
      </c>
      <c r="C11" t="str">
        <v>أحمد محمد توفيق سالم</v>
      </c>
      <c r="E11" t="str">
        <v>نورة محمد عاتق العتيبي</v>
      </c>
      <c r="F11">
        <v>31053</v>
      </c>
      <c r="G11" t="str">
        <v>2405280336</v>
      </c>
      <c r="H11">
        <v>42386</v>
      </c>
      <c r="I11">
        <v>42386</v>
      </c>
      <c r="J11" t="str">
        <v>مقيم تأمينات</v>
      </c>
      <c r="K11" t="str">
        <v>نعم</v>
      </c>
      <c r="L11" t="str">
        <v>مصر</v>
      </c>
      <c r="M11" t="str">
        <v>مسلم</v>
      </c>
      <c r="N11" t="str">
        <v>أعزب</v>
      </c>
      <c r="O11" t="str">
        <v>مصر</v>
      </c>
      <c r="P11" t="str">
        <v>لا</v>
      </c>
      <c r="Q11" t="str">
        <v>معلم</v>
      </c>
      <c r="S11" t="str">
        <v xml:space="preserve">8 سنه 7 شهر 19 يوم </v>
      </c>
      <c r="T11" t="str">
        <v>8</v>
      </c>
      <c r="U11" t="str">
        <v>598871224</v>
      </c>
      <c r="X11" t="str">
        <v>2405280336@al-tanmiah.com</v>
      </c>
      <c r="AC11" t="str">
        <v>بنك</v>
      </c>
      <c r="AD11" t="str">
        <v>SA7305000068204496259000</v>
      </c>
      <c r="AE11" t="str">
        <v>47</v>
      </c>
      <c r="AF11" t="str">
        <v>لا</v>
      </c>
      <c r="AG11" t="str">
        <v>الرياض</v>
      </c>
      <c r="AH11" t="str">
        <v>مدارس دار القلم</v>
      </c>
    </row>
    <row r="12">
      <c r="A12">
        <v>62</v>
      </c>
      <c r="B12" t="str">
        <v>ثانوي</v>
      </c>
      <c r="C12" t="str">
        <v>عبدالملك عبدالكريم محمد اللاحم</v>
      </c>
      <c r="E12" t="str">
        <v>نورة محمد عاتق العتيبي</v>
      </c>
      <c r="F12">
        <v>35642</v>
      </c>
      <c r="G12" t="str">
        <v>1098772732</v>
      </c>
      <c r="H12">
        <v>44445</v>
      </c>
      <c r="I12">
        <v>44445</v>
      </c>
      <c r="J12" t="str">
        <v>سعودي تأمينات</v>
      </c>
      <c r="K12" t="str">
        <v>نعم</v>
      </c>
      <c r="L12" t="str">
        <v>السعودية</v>
      </c>
      <c r="M12" t="str">
        <v>مسلم</v>
      </c>
      <c r="N12" t="str">
        <v>أعزب</v>
      </c>
      <c r="O12" t="str">
        <v>السعودية</v>
      </c>
      <c r="P12" t="str">
        <v>لا</v>
      </c>
      <c r="Q12" t="str">
        <v>معلم</v>
      </c>
      <c r="S12" t="str">
        <v xml:space="preserve">2 سنه 11 شهر 30 يوم </v>
      </c>
      <c r="T12" t="str">
        <v>3</v>
      </c>
      <c r="U12" t="str">
        <v>552604731</v>
      </c>
      <c r="X12" t="str">
        <v>1098772732@al-tanmiah.com</v>
      </c>
      <c r="AC12" t="str">
        <v>بنك</v>
      </c>
      <c r="AD12" t="str">
        <v>SA4080000101608016319848</v>
      </c>
      <c r="AE12" t="str">
        <v>62</v>
      </c>
      <c r="AF12" t="str">
        <v>لا</v>
      </c>
      <c r="AG12" t="str">
        <v>الرياض</v>
      </c>
      <c r="AH12" t="str">
        <v>مدارس دار القلم</v>
      </c>
    </row>
    <row r="13">
      <c r="A13">
        <v>65</v>
      </c>
      <c r="B13" t="str">
        <v>متوسط</v>
      </c>
      <c r="C13" t="str">
        <v>عبدالعزيز خالد عبدالعزيز العتيق</v>
      </c>
      <c r="E13" t="str">
        <v>نورة محمد عاتق العتيبي</v>
      </c>
      <c r="F13">
        <v>33103</v>
      </c>
      <c r="G13" t="str">
        <v>1073686394</v>
      </c>
      <c r="H13">
        <v>44593</v>
      </c>
      <c r="I13">
        <v>44593</v>
      </c>
      <c r="J13" t="str">
        <v>سعودي تأمينات</v>
      </c>
      <c r="K13" t="str">
        <v>نعم</v>
      </c>
      <c r="L13" t="str">
        <v>السعودية</v>
      </c>
      <c r="M13" t="str">
        <v>مسلم</v>
      </c>
      <c r="N13" t="str">
        <v>أعزب</v>
      </c>
      <c r="O13" t="str">
        <v>السعودية</v>
      </c>
      <c r="P13" t="str">
        <v>لا</v>
      </c>
      <c r="Q13" t="str">
        <v>معلم</v>
      </c>
      <c r="S13" t="str">
        <v xml:space="preserve">2 سنه 7 شهر 4 يوم </v>
      </c>
      <c r="T13" t="str">
        <v>2</v>
      </c>
      <c r="U13" t="str">
        <v>545069043</v>
      </c>
      <c r="X13" t="str">
        <v>1073686394@al-tanmiah.com</v>
      </c>
      <c r="AC13" t="str">
        <v>بنك</v>
      </c>
      <c r="AD13" t="str">
        <v>SA8105000068204541398000</v>
      </c>
      <c r="AE13" t="str">
        <v>65</v>
      </c>
      <c r="AF13" t="str">
        <v>لا</v>
      </c>
      <c r="AG13" t="str">
        <v>الرياض</v>
      </c>
      <c r="AH13" t="str">
        <v>مدارس دار القلم</v>
      </c>
    </row>
    <row r="14">
      <c r="A14">
        <v>68</v>
      </c>
      <c r="B14" t="str">
        <v>ابتدائي</v>
      </c>
      <c r="C14" t="str">
        <v>حسن عز الدين حسن مبروك</v>
      </c>
      <c r="E14" t="str">
        <v>نورة محمد عاتق العتيبي</v>
      </c>
      <c r="F14">
        <v>30886</v>
      </c>
      <c r="G14" t="str">
        <v>2295722868</v>
      </c>
      <c r="H14">
        <v>40457</v>
      </c>
      <c r="I14">
        <v>40457</v>
      </c>
      <c r="J14" t="str">
        <v>مقيم تأمينات</v>
      </c>
      <c r="K14" t="str">
        <v>نعم</v>
      </c>
      <c r="L14" t="str">
        <v>مصر</v>
      </c>
      <c r="M14" t="str">
        <v>مسلم</v>
      </c>
      <c r="N14" t="str">
        <v>متزوج</v>
      </c>
      <c r="O14" t="str">
        <v>مصر</v>
      </c>
      <c r="P14" t="str">
        <v>لا</v>
      </c>
      <c r="Q14" t="str">
        <v>معلم</v>
      </c>
      <c r="S14" t="str">
        <v xml:space="preserve">13 سنه 10 شهر 30 يوم </v>
      </c>
      <c r="T14" t="str">
        <v>14</v>
      </c>
      <c r="U14" t="str">
        <v>597772798</v>
      </c>
      <c r="X14" t="str">
        <v>2295722868@al-tanmiah.com</v>
      </c>
      <c r="AC14" t="str">
        <v>بنك</v>
      </c>
      <c r="AD14" t="str">
        <v>SA1305000068204503182000</v>
      </c>
      <c r="AE14" t="str">
        <v>68</v>
      </c>
      <c r="AF14" t="str">
        <v>لا</v>
      </c>
      <c r="AG14" t="str">
        <v>الرياض</v>
      </c>
      <c r="AH14" t="str">
        <v>مدارس دار القلم</v>
      </c>
    </row>
    <row r="15">
      <c r="A15">
        <v>69</v>
      </c>
      <c r="B15" t="str">
        <v>متوسط</v>
      </c>
      <c r="C15" t="str">
        <v>محمد محمد سمير عبدالعزيز</v>
      </c>
      <c r="E15" t="str">
        <v>نورة محمد عاتق العتيبي</v>
      </c>
      <c r="F15">
        <v>28940</v>
      </c>
      <c r="G15" t="str">
        <v>2312390483</v>
      </c>
      <c r="H15">
        <v>40824</v>
      </c>
      <c r="I15">
        <v>40824</v>
      </c>
      <c r="J15" t="str">
        <v>مقيم تأمينات</v>
      </c>
      <c r="K15" t="str">
        <v>نعم</v>
      </c>
      <c r="L15" t="str">
        <v>مصر</v>
      </c>
      <c r="M15" t="str">
        <v>مسلم</v>
      </c>
      <c r="N15" t="str">
        <v>متزوج</v>
      </c>
      <c r="O15" t="str">
        <v>مصر</v>
      </c>
      <c r="P15" t="str">
        <v>لا</v>
      </c>
      <c r="Q15" t="str">
        <v>معلم</v>
      </c>
      <c r="S15" t="str">
        <v xml:space="preserve">12 سنه 10 شهر 28 يوم </v>
      </c>
      <c r="T15" t="str">
        <v>13</v>
      </c>
      <c r="U15" t="str">
        <v>547869697</v>
      </c>
      <c r="X15" t="str">
        <v>2312390483@al-tanmiah.com</v>
      </c>
      <c r="AC15" t="str">
        <v>بنك</v>
      </c>
      <c r="AD15" t="str">
        <v>SA5105000068204498736000</v>
      </c>
      <c r="AE15" t="str">
        <v>69</v>
      </c>
      <c r="AF15" t="str">
        <v>لا</v>
      </c>
      <c r="AG15" t="str">
        <v>الرياض</v>
      </c>
      <c r="AH15" t="str">
        <v>مدارس دار القلم</v>
      </c>
    </row>
    <row r="16">
      <c r="A16">
        <v>70</v>
      </c>
      <c r="B16" t="str">
        <v>ابتدائي</v>
      </c>
      <c r="C16" t="str">
        <v>العفيفى عبد الجواد محمد العفيفى</v>
      </c>
      <c r="E16" t="str">
        <v>نورة محمد عاتق العتيبي</v>
      </c>
      <c r="F16">
        <v>27827</v>
      </c>
      <c r="G16" t="str">
        <v>2296977628</v>
      </c>
      <c r="H16">
        <v>40488</v>
      </c>
      <c r="I16">
        <v>40488</v>
      </c>
      <c r="J16" t="str">
        <v>مقيم تأمينات</v>
      </c>
      <c r="K16" t="str">
        <v>نعم</v>
      </c>
      <c r="L16" t="str">
        <v>مصر</v>
      </c>
      <c r="M16" t="str">
        <v>مسلم</v>
      </c>
      <c r="N16" t="str">
        <v>متزوج</v>
      </c>
      <c r="O16" t="str">
        <v>مصر</v>
      </c>
      <c r="P16" t="str">
        <v>لا</v>
      </c>
      <c r="Q16" t="str">
        <v>معلم</v>
      </c>
      <c r="S16" t="str">
        <v xml:space="preserve">13 سنه 9 شهر 30 يوم </v>
      </c>
      <c r="T16" t="str">
        <v>14</v>
      </c>
      <c r="U16" t="str">
        <v>564097432</v>
      </c>
      <c r="X16" t="str">
        <v>2296977628@al-tanmiah.com</v>
      </c>
      <c r="AC16" t="str">
        <v>بنك</v>
      </c>
      <c r="AD16" t="str">
        <v>SA5180000521608010068146</v>
      </c>
      <c r="AE16" t="str">
        <v>70</v>
      </c>
      <c r="AF16" t="str">
        <v>لا</v>
      </c>
      <c r="AG16" t="str">
        <v>الرياض</v>
      </c>
      <c r="AH16" t="str">
        <v>مدارس دار القلم</v>
      </c>
    </row>
    <row r="17">
      <c r="A17">
        <v>72</v>
      </c>
      <c r="B17" t="str">
        <v>ابتدائي</v>
      </c>
      <c r="C17" t="str">
        <v>ربيع عوض عبدالموجود خليفه</v>
      </c>
      <c r="E17" t="str">
        <v>نورة محمد عاتق العتيبي</v>
      </c>
      <c r="F17">
        <v>32809</v>
      </c>
      <c r="G17" t="str">
        <v>2396262137</v>
      </c>
      <c r="H17">
        <v>42236</v>
      </c>
      <c r="I17">
        <v>42236</v>
      </c>
      <c r="J17" t="str">
        <v>مقيم تأمينات</v>
      </c>
      <c r="K17" t="str">
        <v>نعم</v>
      </c>
      <c r="L17" t="str">
        <v>مصر</v>
      </c>
      <c r="M17" t="str">
        <v>مسلم</v>
      </c>
      <c r="N17" t="str">
        <v>متزوج</v>
      </c>
      <c r="O17" t="str">
        <v>مصر</v>
      </c>
      <c r="P17" t="str">
        <v>لا</v>
      </c>
      <c r="Q17" t="str">
        <v>معلم</v>
      </c>
      <c r="S17" t="str">
        <v xml:space="preserve">9 سنه 0 شهر 16 يوم </v>
      </c>
      <c r="T17" t="str">
        <v>9</v>
      </c>
      <c r="U17" t="str">
        <v>541948873</v>
      </c>
      <c r="X17" t="str">
        <v>2396262137@al-tanmiah.com</v>
      </c>
      <c r="AC17" t="str">
        <v>بنك</v>
      </c>
      <c r="AD17" t="str">
        <v>SA1005000068203117306000</v>
      </c>
      <c r="AE17" t="str">
        <v>72</v>
      </c>
      <c r="AF17" t="str">
        <v>لا</v>
      </c>
      <c r="AG17" t="str">
        <v>الرياض</v>
      </c>
      <c r="AH17" t="str">
        <v>مدارس دار القلم</v>
      </c>
    </row>
    <row r="18">
      <c r="A18">
        <v>76</v>
      </c>
      <c r="B18" t="str">
        <v>ابتدائي</v>
      </c>
      <c r="C18" t="str">
        <v>ماهر مساعد سعد الحربي</v>
      </c>
      <c r="E18" t="str">
        <v>نورة محمد عاتق العتيبي</v>
      </c>
      <c r="F18">
        <v>35078</v>
      </c>
      <c r="G18" t="str">
        <v>1106119926</v>
      </c>
      <c r="H18">
        <v>44593</v>
      </c>
      <c r="I18">
        <v>44593</v>
      </c>
      <c r="J18" t="str">
        <v>سعودي تأمينات</v>
      </c>
      <c r="K18" t="str">
        <v>نعم</v>
      </c>
      <c r="L18" t="str">
        <v>السعودية</v>
      </c>
      <c r="M18" t="str">
        <v>مسلم</v>
      </c>
      <c r="N18" t="str">
        <v>أعزب</v>
      </c>
      <c r="O18" t="str">
        <v>السعودية</v>
      </c>
      <c r="P18" t="str">
        <v>لا</v>
      </c>
      <c r="Q18" t="str">
        <v>معلم</v>
      </c>
      <c r="S18" t="str">
        <v xml:space="preserve">2 سنه 7 شهر 4 يوم </v>
      </c>
      <c r="T18" t="str">
        <v>2</v>
      </c>
      <c r="U18" t="str">
        <v>559012194</v>
      </c>
      <c r="X18" t="str">
        <v>1106119926@al-tanmiah.com</v>
      </c>
      <c r="AC18" t="str">
        <v>بنك</v>
      </c>
      <c r="AD18" t="str">
        <v>SA4180000632608010003024</v>
      </c>
      <c r="AE18" t="str">
        <v>76</v>
      </c>
      <c r="AF18" t="str">
        <v>لا</v>
      </c>
      <c r="AG18" t="str">
        <v>الرياض</v>
      </c>
      <c r="AH18" t="str">
        <v>مدارس دار القلم</v>
      </c>
    </row>
    <row r="19">
      <c r="A19">
        <v>78</v>
      </c>
      <c r="B19" t="str">
        <v>ابتدائي</v>
      </c>
      <c r="C19" t="str">
        <v>فواز عبدالله إسماعيل المطيري</v>
      </c>
      <c r="E19" t="str">
        <v>نورة محمد عاتق العتيبي</v>
      </c>
      <c r="F19">
        <v>35369</v>
      </c>
      <c r="G19" t="str">
        <v>1095982995</v>
      </c>
      <c r="H19">
        <v>44593</v>
      </c>
      <c r="I19">
        <v>44593</v>
      </c>
      <c r="J19" t="str">
        <v>سعودي تأمينات</v>
      </c>
      <c r="K19" t="str">
        <v>نعم</v>
      </c>
      <c r="L19" t="str">
        <v>السعودية</v>
      </c>
      <c r="M19" t="str">
        <v>مسلم</v>
      </c>
      <c r="N19" t="str">
        <v>أعزب</v>
      </c>
      <c r="O19" t="str">
        <v>السعودية</v>
      </c>
      <c r="P19" t="str">
        <v>لا</v>
      </c>
      <c r="Q19" t="str">
        <v>معلم</v>
      </c>
      <c r="S19" t="str">
        <v xml:space="preserve">2 سنه 7 شهر 4 يوم </v>
      </c>
      <c r="T19" t="str">
        <v>2</v>
      </c>
      <c r="U19" t="str">
        <v>501772544</v>
      </c>
      <c r="X19" t="str">
        <v>1095982995@al-tanmiah.com</v>
      </c>
      <c r="AC19" t="str">
        <v>بنك</v>
      </c>
      <c r="AD19" t="str">
        <v>SA3880000632608016034247</v>
      </c>
      <c r="AE19" t="str">
        <v>78</v>
      </c>
      <c r="AF19" t="str">
        <v>لا</v>
      </c>
      <c r="AG19" t="str">
        <v>الرياض</v>
      </c>
      <c r="AH19" t="str">
        <v>مدارس دار القلم</v>
      </c>
    </row>
    <row r="20">
      <c r="A20">
        <v>80</v>
      </c>
      <c r="B20" t="str">
        <v>متوسط</v>
      </c>
      <c r="C20" t="str">
        <v>الزين الشيخ الزين أبو جبل</v>
      </c>
      <c r="F20">
        <v>25020</v>
      </c>
      <c r="G20" t="str">
        <v>2165144052</v>
      </c>
      <c r="H20">
        <v>45517</v>
      </c>
      <c r="I20">
        <v>43702</v>
      </c>
      <c r="J20" t="str">
        <v>مقيم بدون تأمينات</v>
      </c>
      <c r="K20" t="str">
        <v>نعم</v>
      </c>
      <c r="L20" t="str">
        <v>السودان</v>
      </c>
      <c r="M20" t="str">
        <v>مسلم</v>
      </c>
      <c r="N20" t="str">
        <v>متزوج</v>
      </c>
      <c r="O20" t="str">
        <v>السودان</v>
      </c>
      <c r="P20" t="str">
        <v>لا</v>
      </c>
      <c r="Q20" t="str">
        <v>وكيل</v>
      </c>
      <c r="S20" t="str">
        <v xml:space="preserve">5 سنه 0 شهر 11 يوم </v>
      </c>
      <c r="T20" t="str">
        <v>5</v>
      </c>
      <c r="U20" t="str">
        <v>507237675</v>
      </c>
      <c r="X20" t="str">
        <v>2165144052@al-tanmiah.com</v>
      </c>
      <c r="AC20" t="str">
        <v>بنك</v>
      </c>
      <c r="AD20" t="str">
        <v>SA4080000539608019290980</v>
      </c>
      <c r="AE20" t="str">
        <v>80</v>
      </c>
      <c r="AF20" t="str">
        <v>لا</v>
      </c>
      <c r="AG20" t="str">
        <v>الرياض</v>
      </c>
      <c r="AH20" t="str">
        <v>مدارس دار القلم</v>
      </c>
    </row>
    <row r="21">
      <c r="A21">
        <v>89</v>
      </c>
      <c r="B21" t="str">
        <v>ثانوي</v>
      </c>
      <c r="C21" t="str">
        <v>مصطفى رجب جمعه العباسى</v>
      </c>
      <c r="E21" t="str">
        <v>نورة محمد عاتق العتيبي</v>
      </c>
      <c r="F21">
        <v>29166</v>
      </c>
      <c r="G21" t="str">
        <v>2295984575</v>
      </c>
      <c r="H21">
        <v>40467</v>
      </c>
      <c r="I21">
        <v>40467</v>
      </c>
      <c r="J21" t="str">
        <v>مقيم تأمينات</v>
      </c>
      <c r="K21" t="str">
        <v>نعم</v>
      </c>
      <c r="L21" t="str">
        <v>مصر</v>
      </c>
      <c r="M21" t="str">
        <v>مسلم</v>
      </c>
      <c r="N21" t="str">
        <v>متزوج</v>
      </c>
      <c r="O21" t="str">
        <v>مصر</v>
      </c>
      <c r="P21" t="str">
        <v>لا</v>
      </c>
      <c r="Q21" t="str">
        <v>معلم</v>
      </c>
      <c r="S21" t="str">
        <v xml:space="preserve">13 سنه 10 شهر 20 يوم </v>
      </c>
      <c r="T21" t="str">
        <v>14</v>
      </c>
      <c r="U21" t="str">
        <v>546786061</v>
      </c>
      <c r="X21" t="str">
        <v>2295984575@al-tanmiah.com</v>
      </c>
      <c r="AC21" t="str">
        <v>بنك</v>
      </c>
      <c r="AD21" t="str">
        <v>SA4105000068204496220000</v>
      </c>
      <c r="AE21" t="str">
        <v>89</v>
      </c>
      <c r="AF21" t="str">
        <v>لا</v>
      </c>
      <c r="AG21" t="str">
        <v>الرياض</v>
      </c>
      <c r="AH21" t="str">
        <v>مدارس دار القلم</v>
      </c>
    </row>
    <row r="22">
      <c r="A22">
        <v>95</v>
      </c>
      <c r="B22" t="str">
        <v>ثانوي</v>
      </c>
      <c r="C22" t="str">
        <v>احمد محمد مصباح عبعوب</v>
      </c>
      <c r="E22" t="str">
        <v>نورة محمد عاتق العتيبي</v>
      </c>
      <c r="F22">
        <v>31357</v>
      </c>
      <c r="G22" t="str">
        <v>2350964611</v>
      </c>
      <c r="H22">
        <v>41512</v>
      </c>
      <c r="I22">
        <v>41512</v>
      </c>
      <c r="J22" t="str">
        <v>مقيم تأمينات</v>
      </c>
      <c r="K22" t="str">
        <v>نعم</v>
      </c>
      <c r="L22" t="str">
        <v>مصر</v>
      </c>
      <c r="M22" t="str">
        <v>مسلم</v>
      </c>
      <c r="N22" t="str">
        <v>متزوج</v>
      </c>
      <c r="O22" t="str">
        <v>مصر</v>
      </c>
      <c r="P22" t="str">
        <v>لا</v>
      </c>
      <c r="Q22" t="str">
        <v>معلم</v>
      </c>
      <c r="S22" t="str">
        <v xml:space="preserve">11 سنه 0 شهر 10 يوم </v>
      </c>
      <c r="T22" t="str">
        <v>11</v>
      </c>
      <c r="U22" t="str">
        <v>552005145</v>
      </c>
      <c r="X22" t="str">
        <v>2350964611@al-tanmiah.com</v>
      </c>
      <c r="AC22" t="str">
        <v>بنك</v>
      </c>
      <c r="AD22" t="str">
        <v>SA9105000068204495802000</v>
      </c>
      <c r="AE22" t="str">
        <v>95</v>
      </c>
      <c r="AF22" t="str">
        <v>لا</v>
      </c>
      <c r="AG22" t="str">
        <v>الرياض</v>
      </c>
      <c r="AH22" t="str">
        <v>مدارس دار القلم</v>
      </c>
    </row>
    <row r="23">
      <c r="A23">
        <v>96</v>
      </c>
      <c r="B23" t="str">
        <v>ثانوي</v>
      </c>
      <c r="C23" t="str">
        <v>مصطفى ابراهيم عبدالتواب عبد المولي</v>
      </c>
      <c r="E23" t="str">
        <v>نورة محمد عاتق العتيبي</v>
      </c>
      <c r="F23">
        <v>32888</v>
      </c>
      <c r="G23" t="str">
        <v>2382247068</v>
      </c>
      <c r="H23">
        <v>42057</v>
      </c>
      <c r="I23">
        <v>42057</v>
      </c>
      <c r="J23" t="str">
        <v>مقيم تأمينات</v>
      </c>
      <c r="K23" t="str">
        <v>نعم</v>
      </c>
      <c r="L23" t="str">
        <v>مصر</v>
      </c>
      <c r="M23" t="str">
        <v>مسلم</v>
      </c>
      <c r="N23" t="str">
        <v>أعزب</v>
      </c>
      <c r="O23" t="str">
        <v>مصر</v>
      </c>
      <c r="P23" t="str">
        <v>لا</v>
      </c>
      <c r="Q23" t="str">
        <v>معلم</v>
      </c>
      <c r="S23" t="str">
        <v xml:space="preserve">9 سنه 6 شهر 14 يوم </v>
      </c>
      <c r="T23" t="str">
        <v>9</v>
      </c>
      <c r="U23" t="str">
        <v>552420543</v>
      </c>
      <c r="X23" t="str">
        <v>2382247068@al-tanmiah.com</v>
      </c>
      <c r="AC23" t="str">
        <v>بنك</v>
      </c>
      <c r="AD23" t="str">
        <v>SA8605000068204495999000</v>
      </c>
      <c r="AE23" t="str">
        <v>96</v>
      </c>
      <c r="AF23" t="str">
        <v>لا</v>
      </c>
      <c r="AG23" t="str">
        <v>الرياض</v>
      </c>
      <c r="AH23" t="str">
        <v>مدارس دار القلم</v>
      </c>
    </row>
    <row r="24">
      <c r="A24">
        <v>98</v>
      </c>
      <c r="B24" t="str">
        <v>ابتدائي</v>
      </c>
      <c r="C24" t="str">
        <v>محمود رضا ابوالمكارم وحش</v>
      </c>
      <c r="E24" t="str">
        <v>نورة محمد عاتق العتيبي</v>
      </c>
      <c r="F24">
        <v>33512</v>
      </c>
      <c r="G24" t="str">
        <v>2396261717</v>
      </c>
      <c r="H24">
        <v>42235</v>
      </c>
      <c r="I24">
        <v>42235</v>
      </c>
      <c r="J24" t="str">
        <v>مقيم تأمينات</v>
      </c>
      <c r="K24" t="str">
        <v>نعم</v>
      </c>
      <c r="L24" t="str">
        <v>مصر</v>
      </c>
      <c r="M24" t="str">
        <v>مسلم</v>
      </c>
      <c r="N24" t="str">
        <v>متزوج</v>
      </c>
      <c r="O24" t="str">
        <v>مصر</v>
      </c>
      <c r="P24" t="str">
        <v>لا</v>
      </c>
      <c r="Q24" t="str">
        <v>معلم</v>
      </c>
      <c r="S24" t="str">
        <v xml:space="preserve">9 سنه 0 شهر 17 يوم </v>
      </c>
      <c r="T24" t="str">
        <v>9</v>
      </c>
      <c r="U24" t="str">
        <v>599536762</v>
      </c>
      <c r="X24" t="str">
        <v>2396261717@al-tanmiah.com</v>
      </c>
      <c r="AC24" t="str">
        <v>بنك</v>
      </c>
      <c r="AD24" t="str">
        <v>SA1505000068204494315000</v>
      </c>
      <c r="AE24" t="str">
        <v>98</v>
      </c>
      <c r="AF24" t="str">
        <v>لا</v>
      </c>
      <c r="AG24" t="str">
        <v>الرياض</v>
      </c>
      <c r="AH24" t="str">
        <v>مدارس دار القلم</v>
      </c>
    </row>
    <row r="25">
      <c r="A25">
        <v>111</v>
      </c>
      <c r="B25" t="str">
        <v>ابتدائي</v>
      </c>
      <c r="C25" t="str">
        <v>عبد العزيز محمود بيومي يونس</v>
      </c>
      <c r="E25" t="str">
        <v>نورة محمد عاتق العتيبي</v>
      </c>
      <c r="F25">
        <v>29967</v>
      </c>
      <c r="G25" t="str">
        <v>2314377397</v>
      </c>
      <c r="H25">
        <v>40847</v>
      </c>
      <c r="I25">
        <v>40847</v>
      </c>
      <c r="J25" t="str">
        <v>مقيم تأمينات</v>
      </c>
      <c r="K25" t="str">
        <v>نعم</v>
      </c>
      <c r="L25" t="str">
        <v>مصر</v>
      </c>
      <c r="M25" t="str">
        <v>مسلم</v>
      </c>
      <c r="N25" t="str">
        <v>متزوج</v>
      </c>
      <c r="O25" t="str">
        <v>مصر</v>
      </c>
      <c r="P25" t="str">
        <v>لا</v>
      </c>
      <c r="Q25" t="str">
        <v>معلم</v>
      </c>
      <c r="S25" t="str">
        <v xml:space="preserve">12 سنه 10 شهر 5 يوم </v>
      </c>
      <c r="T25" t="str">
        <v>13</v>
      </c>
      <c r="U25" t="str">
        <v>598811372</v>
      </c>
      <c r="X25" t="str">
        <v>2314377397@al-tanmiah.com</v>
      </c>
      <c r="AC25" t="str">
        <v>بنك</v>
      </c>
      <c r="AD25" t="str">
        <v>SA3805000068202076809000</v>
      </c>
      <c r="AE25" t="str">
        <v>111</v>
      </c>
      <c r="AF25" t="str">
        <v>لا</v>
      </c>
      <c r="AG25" t="str">
        <v>الرياض</v>
      </c>
      <c r="AH25" t="str">
        <v>مدارس دار القلم</v>
      </c>
    </row>
    <row r="26">
      <c r="A26">
        <v>122</v>
      </c>
      <c r="B26" t="str">
        <v>ابتدائي</v>
      </c>
      <c r="C26" t="str">
        <v>محمود محمد محمود عبد الحسيب</v>
      </c>
      <c r="E26" t="str">
        <v>نورة محمد عاتق العتيبي</v>
      </c>
      <c r="F26">
        <v>31643</v>
      </c>
      <c r="G26" t="str">
        <v>2422265567</v>
      </c>
      <c r="H26">
        <v>42638</v>
      </c>
      <c r="I26">
        <v>42638</v>
      </c>
      <c r="J26" t="str">
        <v>مقيم تأمينات</v>
      </c>
      <c r="K26" t="str">
        <v>نعم</v>
      </c>
      <c r="L26" t="str">
        <v>مصر</v>
      </c>
      <c r="M26" t="str">
        <v>مسلم</v>
      </c>
      <c r="N26" t="str">
        <v>أعزب</v>
      </c>
      <c r="O26" t="str">
        <v>مصر</v>
      </c>
      <c r="P26" t="str">
        <v>لا</v>
      </c>
      <c r="Q26" t="str">
        <v>معلم</v>
      </c>
      <c r="S26" t="str">
        <v xml:space="preserve">7 سنه 11 شهر 11 يوم </v>
      </c>
      <c r="T26" t="str">
        <v>8</v>
      </c>
      <c r="U26" t="str">
        <v>560294799</v>
      </c>
      <c r="X26" t="str">
        <v>2422265567@al-tanmiah.com</v>
      </c>
      <c r="AC26" t="str">
        <v>بنك</v>
      </c>
      <c r="AD26" t="str">
        <v>SA2705000068204377675000</v>
      </c>
      <c r="AE26" t="str">
        <v>122</v>
      </c>
      <c r="AF26" t="str">
        <v>لا</v>
      </c>
      <c r="AG26" t="str">
        <v>الرياض</v>
      </c>
      <c r="AH26" t="str">
        <v>مدارس دار القلم</v>
      </c>
    </row>
    <row r="27">
      <c r="A27">
        <v>137</v>
      </c>
      <c r="B27" t="str">
        <v>ثانوي</v>
      </c>
      <c r="C27" t="str">
        <v>محمد صلاح أحمد نصر</v>
      </c>
      <c r="E27" t="str">
        <v>نورة محمد عاتق العتيبي</v>
      </c>
      <c r="F27">
        <v>30514</v>
      </c>
      <c r="G27" t="str">
        <v>2422261525</v>
      </c>
      <c r="H27">
        <v>42637</v>
      </c>
      <c r="I27">
        <v>42637</v>
      </c>
      <c r="J27" t="str">
        <v>مقيم تأمينات</v>
      </c>
      <c r="K27" t="str">
        <v>نعم</v>
      </c>
      <c r="L27" t="str">
        <v>مصر</v>
      </c>
      <c r="M27" t="str">
        <v>مسلم</v>
      </c>
      <c r="N27" t="str">
        <v>متزوج</v>
      </c>
      <c r="O27" t="str">
        <v>مصر</v>
      </c>
      <c r="P27" t="str">
        <v>لا</v>
      </c>
      <c r="Q27" t="str">
        <v>معلم</v>
      </c>
      <c r="S27" t="str">
        <v xml:space="preserve">7 سنه 11 شهر 12 يوم </v>
      </c>
      <c r="T27" t="str">
        <v>8</v>
      </c>
      <c r="U27" t="str">
        <v>548480212</v>
      </c>
      <c r="X27" t="str">
        <v>2422261525@al-tanmiah.com</v>
      </c>
      <c r="AC27" t="str">
        <v>بنك</v>
      </c>
      <c r="AD27" t="str">
        <v>SA5805000068204497335000</v>
      </c>
      <c r="AE27" t="str">
        <v>137</v>
      </c>
      <c r="AF27" t="str">
        <v>لا</v>
      </c>
      <c r="AG27" t="str">
        <v>الرياض</v>
      </c>
      <c r="AH27" t="str">
        <v>مدارس دار القلم</v>
      </c>
    </row>
    <row r="28">
      <c r="A28">
        <v>155</v>
      </c>
      <c r="B28" t="str">
        <v>إدارة المجمع</v>
      </c>
      <c r="C28" t="str">
        <v>احمد رفعت حامد السعدنى</v>
      </c>
      <c r="E28" t="str">
        <v>نورة محمد عاتق العتيبي</v>
      </c>
      <c r="F28">
        <v>28917</v>
      </c>
      <c r="G28" t="str">
        <v>2396958551</v>
      </c>
      <c r="H28">
        <v>42988</v>
      </c>
      <c r="I28">
        <v>42988</v>
      </c>
      <c r="J28" t="str">
        <v>مقيم تأمينات</v>
      </c>
      <c r="K28" t="str">
        <v>نعم</v>
      </c>
      <c r="L28" t="str">
        <v>مصر</v>
      </c>
      <c r="M28" t="str">
        <v>مسلم</v>
      </c>
      <c r="N28" t="str">
        <v>متزوج</v>
      </c>
      <c r="O28" t="str">
        <v>مصر</v>
      </c>
      <c r="P28" t="str">
        <v>لا</v>
      </c>
      <c r="Q28" t="str">
        <v>سكرتير مدير المجمع</v>
      </c>
      <c r="S28" t="str">
        <v xml:space="preserve">6 سنه 11 شهر 26 يوم </v>
      </c>
      <c r="T28" t="str">
        <v>7</v>
      </c>
      <c r="U28" t="str">
        <v>541397016</v>
      </c>
      <c r="X28" t="str">
        <v>2396958551@al-tanmiah.com</v>
      </c>
      <c r="AC28" t="str">
        <v>بنك</v>
      </c>
      <c r="AD28" t="str">
        <v>SA5205000068202989299000</v>
      </c>
      <c r="AE28" t="str">
        <v>155</v>
      </c>
      <c r="AF28" t="str">
        <v>لا</v>
      </c>
      <c r="AG28" t="str">
        <v>الرياض</v>
      </c>
      <c r="AH28" t="str">
        <v>مدارس دار القلم</v>
      </c>
    </row>
    <row r="29">
      <c r="A29">
        <v>158</v>
      </c>
      <c r="B29" t="str">
        <v>ثانوي</v>
      </c>
      <c r="C29" t="str">
        <v>أحمد طاهر عبد المعطي بهيدي</v>
      </c>
      <c r="E29" t="str">
        <v>نورة محمد عاتق العتيبي</v>
      </c>
      <c r="F29">
        <v>33023</v>
      </c>
      <c r="G29" t="str">
        <v>2422266318</v>
      </c>
      <c r="H29">
        <v>42634</v>
      </c>
      <c r="I29">
        <v>42634</v>
      </c>
      <c r="J29" t="str">
        <v>مقيم تأمينات</v>
      </c>
      <c r="K29" t="str">
        <v>نعم</v>
      </c>
      <c r="L29" t="str">
        <v>مصر</v>
      </c>
      <c r="M29" t="str">
        <v>مسلم</v>
      </c>
      <c r="N29" t="str">
        <v>أعزب</v>
      </c>
      <c r="O29" t="str">
        <v>مصر</v>
      </c>
      <c r="P29" t="str">
        <v>لا</v>
      </c>
      <c r="Q29" t="str">
        <v>معلم</v>
      </c>
      <c r="S29" t="str">
        <v xml:space="preserve">7 سنه 11 شهر 15 يوم </v>
      </c>
      <c r="T29" t="str">
        <v>8</v>
      </c>
      <c r="U29" t="str">
        <v>560000000</v>
      </c>
      <c r="X29" t="str">
        <v>2422266318@al-tanmiah.com</v>
      </c>
      <c r="AC29" t="str">
        <v>بنك</v>
      </c>
      <c r="AD29" t="str">
        <v>SA3205000068204375926000</v>
      </c>
      <c r="AE29" t="str">
        <v>158</v>
      </c>
      <c r="AF29" t="str">
        <v>لا</v>
      </c>
      <c r="AG29" t="str">
        <v>الرياض</v>
      </c>
      <c r="AH29" t="str">
        <v>مدارس دار القلم</v>
      </c>
    </row>
    <row r="30">
      <c r="A30">
        <v>160</v>
      </c>
      <c r="B30" t="str">
        <v>ثانوي</v>
      </c>
      <c r="C30" t="str">
        <v>سلمان محمد عبد الرحمن سالمان</v>
      </c>
      <c r="E30" t="str">
        <v>نورة محمد عاتق العتيبي</v>
      </c>
      <c r="F30">
        <v>33454</v>
      </c>
      <c r="G30" t="str">
        <v>2442472367</v>
      </c>
      <c r="H30">
        <v>42988</v>
      </c>
      <c r="I30">
        <v>42988</v>
      </c>
      <c r="J30" t="str">
        <v>مقيم تأمينات</v>
      </c>
      <c r="K30" t="str">
        <v>نعم</v>
      </c>
      <c r="L30" t="str">
        <v>مصر</v>
      </c>
      <c r="M30" t="str">
        <v>مسلم</v>
      </c>
      <c r="N30" t="str">
        <v>متزوج</v>
      </c>
      <c r="O30" t="str">
        <v>مصر</v>
      </c>
      <c r="P30" t="str">
        <v>لا</v>
      </c>
      <c r="Q30" t="str">
        <v>معلم</v>
      </c>
      <c r="S30" t="str">
        <v xml:space="preserve">6 سنه 11 شهر 26 يوم </v>
      </c>
      <c r="T30" t="str">
        <v>7</v>
      </c>
      <c r="U30" t="str">
        <v>545793386</v>
      </c>
      <c r="X30" t="str">
        <v>2442472367@al-tanmiah.com</v>
      </c>
      <c r="AC30" t="str">
        <v>بنك</v>
      </c>
      <c r="AD30" t="str">
        <v>SA3105000068203090211000</v>
      </c>
      <c r="AE30" t="str">
        <v>160</v>
      </c>
      <c r="AF30" t="str">
        <v>لا</v>
      </c>
      <c r="AG30" t="str">
        <v>الرياض</v>
      </c>
      <c r="AH30" t="str">
        <v>مدارس دار القلم</v>
      </c>
    </row>
    <row r="31">
      <c r="A31">
        <v>164</v>
      </c>
      <c r="B31" t="str">
        <v>ثانوي</v>
      </c>
      <c r="C31" t="str">
        <v>حسن أحمد ابو غنيمة أحمد</v>
      </c>
      <c r="E31" t="str">
        <v>نورة محمد عاتق العتيبي</v>
      </c>
      <c r="F31">
        <v>33928</v>
      </c>
      <c r="G31" t="str">
        <v>2442117442</v>
      </c>
      <c r="H31">
        <v>42995</v>
      </c>
      <c r="I31">
        <v>42995</v>
      </c>
      <c r="J31" t="str">
        <v>مقيم تأمينات</v>
      </c>
      <c r="K31" t="str">
        <v>نعم</v>
      </c>
      <c r="L31" t="str">
        <v>مصر</v>
      </c>
      <c r="M31" t="str">
        <v>مسلم</v>
      </c>
      <c r="N31" t="str">
        <v>متزوج</v>
      </c>
      <c r="O31" t="str">
        <v>مصر</v>
      </c>
      <c r="P31" t="str">
        <v>لا</v>
      </c>
      <c r="Q31" t="str">
        <v>معلم</v>
      </c>
      <c r="S31" t="str">
        <v xml:space="preserve">6 سنه 11 شهر 19 يوم </v>
      </c>
      <c r="T31" t="str">
        <v>7</v>
      </c>
      <c r="U31" t="str">
        <v>569484890</v>
      </c>
      <c r="X31" t="str">
        <v>2442117442@al-tanmiah.com</v>
      </c>
      <c r="AC31" t="str">
        <v>بنك</v>
      </c>
      <c r="AD31" t="str">
        <v>SA2105000068203617800000</v>
      </c>
      <c r="AE31" t="str">
        <v>164</v>
      </c>
      <c r="AF31" t="str">
        <v>لا</v>
      </c>
      <c r="AG31" t="str">
        <v>الرياض</v>
      </c>
      <c r="AH31" t="str">
        <v>مدارس دار القلم</v>
      </c>
    </row>
    <row r="32">
      <c r="A32">
        <v>168</v>
      </c>
      <c r="B32" t="str">
        <v>ثانوي</v>
      </c>
      <c r="C32" t="str">
        <v>حسام السيد محمد علي</v>
      </c>
      <c r="E32" t="str">
        <v>نورة محمد عاتق العتيبي</v>
      </c>
      <c r="F32">
        <v>34869</v>
      </c>
      <c r="G32" t="str">
        <v>2479842896</v>
      </c>
      <c r="H32">
        <v>43788</v>
      </c>
      <c r="I32">
        <v>43788</v>
      </c>
      <c r="J32" t="str">
        <v>مقيم تأمينات</v>
      </c>
      <c r="K32" t="str">
        <v>نعم</v>
      </c>
      <c r="L32" t="str">
        <v>مصر</v>
      </c>
      <c r="M32" t="str">
        <v>مسلم</v>
      </c>
      <c r="N32" t="str">
        <v>أعزب</v>
      </c>
      <c r="O32" t="str">
        <v>مصر</v>
      </c>
      <c r="P32" t="str">
        <v>لا</v>
      </c>
      <c r="Q32" t="str">
        <v>معلم</v>
      </c>
      <c r="S32" t="str">
        <v xml:space="preserve">4 سنه 9 شهر 17 يوم </v>
      </c>
      <c r="T32" t="str">
        <v>5</v>
      </c>
      <c r="U32" t="str">
        <v>542386188</v>
      </c>
      <c r="X32" t="str">
        <v>2479842896@al-tanmiah.com</v>
      </c>
      <c r="AC32" t="str">
        <v>بنك</v>
      </c>
      <c r="AD32" t="str">
        <v>SA7505000068203078661000</v>
      </c>
      <c r="AE32" t="str">
        <v>168</v>
      </c>
      <c r="AF32" t="str">
        <v>لا</v>
      </c>
      <c r="AG32" t="str">
        <v>الرياض</v>
      </c>
      <c r="AH32" t="str">
        <v>مدارس دار القلم</v>
      </c>
    </row>
    <row r="33">
      <c r="A33">
        <v>175</v>
      </c>
      <c r="B33" t="str">
        <v>متوسط</v>
      </c>
      <c r="C33" t="str">
        <v>نوف سليمان علي العتيبي</v>
      </c>
      <c r="E33" t="str">
        <v>نورة محمد عاتق العتيبي</v>
      </c>
      <c r="F33">
        <v>31037</v>
      </c>
      <c r="G33" t="str">
        <v>1046735476</v>
      </c>
      <c r="H33">
        <v>43009</v>
      </c>
      <c r="I33">
        <v>43009</v>
      </c>
      <c r="J33" t="str">
        <v>سعودي تأمينات</v>
      </c>
      <c r="K33" t="str">
        <v>نعم</v>
      </c>
      <c r="L33" t="str">
        <v>السعودية</v>
      </c>
      <c r="M33" t="str">
        <v>مسلم</v>
      </c>
      <c r="N33" t="str">
        <v>متزوج</v>
      </c>
      <c r="O33" t="str">
        <v>السعودية</v>
      </c>
      <c r="P33" t="str">
        <v>لا</v>
      </c>
      <c r="Q33" t="str">
        <v>معلم</v>
      </c>
      <c r="S33" t="str">
        <v xml:space="preserve">6 سنه 11 شهر 4 يوم </v>
      </c>
      <c r="T33" t="str">
        <v>7</v>
      </c>
      <c r="U33" t="str">
        <v>557553982</v>
      </c>
      <c r="X33" t="str">
        <v>1046735476@al-tanmiah.com</v>
      </c>
      <c r="AC33" t="str">
        <v>بنك</v>
      </c>
      <c r="AD33" t="str">
        <v>SA2405000068204497821000</v>
      </c>
      <c r="AE33" t="str">
        <v>175</v>
      </c>
      <c r="AF33" t="str">
        <v>لا</v>
      </c>
      <c r="AG33" t="str">
        <v>الرياض</v>
      </c>
      <c r="AH33" t="str">
        <v>مدارس دار القلم</v>
      </c>
    </row>
    <row r="34">
      <c r="A34">
        <v>177</v>
      </c>
      <c r="B34" t="str">
        <v>ثانوي</v>
      </c>
      <c r="C34" t="str">
        <v>ريم قاسم داخل البقمي</v>
      </c>
      <c r="E34" t="str">
        <v>نورة محمد عاتق العتيبي</v>
      </c>
      <c r="F34">
        <v>33067</v>
      </c>
      <c r="G34" t="str">
        <v>1096143985</v>
      </c>
      <c r="H34">
        <v>43983</v>
      </c>
      <c r="I34">
        <v>43983</v>
      </c>
      <c r="J34" t="str">
        <v>سعودي تأمينات</v>
      </c>
      <c r="K34" t="str">
        <v>نعم</v>
      </c>
      <c r="L34" t="str">
        <v>السعودية</v>
      </c>
      <c r="M34" t="str">
        <v>مسلم</v>
      </c>
      <c r="N34" t="str">
        <v>متزوج</v>
      </c>
      <c r="O34" t="str">
        <v>السعودية</v>
      </c>
      <c r="P34" t="str">
        <v>لا</v>
      </c>
      <c r="Q34" t="str">
        <v>وكيل</v>
      </c>
      <c r="S34" t="str">
        <v xml:space="preserve">4 سنه 3 شهر 4 يوم </v>
      </c>
      <c r="T34" t="str">
        <v>4</v>
      </c>
      <c r="U34" t="str">
        <v>535310618</v>
      </c>
      <c r="X34" t="str">
        <v>1096143985@al-tanmiah.com</v>
      </c>
      <c r="AC34" t="str">
        <v>بنك</v>
      </c>
      <c r="AD34" t="str">
        <v>SA2105000068204498851000</v>
      </c>
      <c r="AE34" t="str">
        <v>177</v>
      </c>
      <c r="AF34" t="str">
        <v>لا</v>
      </c>
      <c r="AG34" t="str">
        <v>الرياض</v>
      </c>
      <c r="AH34" t="str">
        <v>مدارس دار القلم</v>
      </c>
    </row>
    <row r="35">
      <c r="A35">
        <v>179</v>
      </c>
      <c r="B35" t="str">
        <v>ابتدائي</v>
      </c>
      <c r="C35" t="str">
        <v>منى محمد سليمان المحيميد</v>
      </c>
      <c r="E35" t="str">
        <v>نورة محمد عاتق العتيبي</v>
      </c>
      <c r="F35">
        <v>25976</v>
      </c>
      <c r="G35" t="str">
        <v>1027992443</v>
      </c>
      <c r="H35">
        <v>43040</v>
      </c>
      <c r="I35">
        <v>43040</v>
      </c>
      <c r="J35" t="str">
        <v>سعودي تأمينات</v>
      </c>
      <c r="K35" t="str">
        <v>نعم</v>
      </c>
      <c r="L35" t="str">
        <v>السعودية</v>
      </c>
      <c r="M35" t="str">
        <v>مسلم</v>
      </c>
      <c r="N35" t="str">
        <v>متزوج</v>
      </c>
      <c r="O35" t="str">
        <v>السعودية</v>
      </c>
      <c r="P35" t="str">
        <v>لا</v>
      </c>
      <c r="Q35" t="str">
        <v>معلم</v>
      </c>
      <c r="S35" t="str">
        <v xml:space="preserve">6 سنه 10 شهر 4 يوم </v>
      </c>
      <c r="T35" t="str">
        <v>7</v>
      </c>
      <c r="U35" t="str">
        <v>500634575</v>
      </c>
      <c r="X35" t="str">
        <v>1027992443@al-tanmiah.com</v>
      </c>
      <c r="AC35" t="str">
        <v>بنك</v>
      </c>
      <c r="AD35" t="str">
        <v>SA2005000068204498289000</v>
      </c>
      <c r="AE35" t="str">
        <v>179</v>
      </c>
      <c r="AF35" t="str">
        <v>لا</v>
      </c>
      <c r="AG35" t="str">
        <v>الرياض</v>
      </c>
      <c r="AH35" t="str">
        <v>مدارس دار القلم</v>
      </c>
    </row>
    <row r="36">
      <c r="A36">
        <v>183</v>
      </c>
      <c r="B36" t="str">
        <v>ثانوي</v>
      </c>
      <c r="C36" t="str">
        <v>خلود محمد حسن حدادي</v>
      </c>
      <c r="E36" t="str">
        <v>نورة محمد عاتق العتيبي</v>
      </c>
      <c r="F36">
        <v>32779</v>
      </c>
      <c r="G36" t="str">
        <v>1065196212</v>
      </c>
      <c r="H36">
        <v>43360</v>
      </c>
      <c r="I36">
        <v>43360</v>
      </c>
      <c r="J36" t="str">
        <v>سعودي تأمينات</v>
      </c>
      <c r="K36" t="str">
        <v>نعم</v>
      </c>
      <c r="L36" t="str">
        <v>السعودية</v>
      </c>
      <c r="M36" t="str">
        <v>مسلم</v>
      </c>
      <c r="N36" t="str">
        <v>متزوج</v>
      </c>
      <c r="O36" t="str">
        <v>السعودية</v>
      </c>
      <c r="P36" t="str">
        <v>لا</v>
      </c>
      <c r="Q36" t="str">
        <v>موجه طلابي</v>
      </c>
      <c r="S36" t="str">
        <v xml:space="preserve">5 سنه 11 شهر 19 يوم </v>
      </c>
      <c r="T36" t="str">
        <v>6</v>
      </c>
      <c r="U36" t="str">
        <v>506056773</v>
      </c>
      <c r="X36" t="str">
        <v>1065196212@al-tanmiah.com</v>
      </c>
      <c r="AC36" t="str">
        <v>بنك</v>
      </c>
      <c r="AD36" t="str">
        <v>SA9505000068204497856000</v>
      </c>
      <c r="AE36" t="str">
        <v>183</v>
      </c>
      <c r="AF36" t="str">
        <v>لا</v>
      </c>
      <c r="AG36" t="str">
        <v>الرياض</v>
      </c>
      <c r="AH36" t="str">
        <v>مدارس دار القلم</v>
      </c>
    </row>
    <row r="37">
      <c r="A37">
        <v>185</v>
      </c>
      <c r="B37" t="str">
        <v>ابتدائي</v>
      </c>
      <c r="C37" t="str">
        <v>أمينه صالح معيتق الحربي</v>
      </c>
      <c r="E37" t="str">
        <v>نورة محمد عاتق العتيبي</v>
      </c>
      <c r="F37">
        <v>29002</v>
      </c>
      <c r="G37" t="str">
        <v>1026450542</v>
      </c>
      <c r="H37">
        <v>43709</v>
      </c>
      <c r="I37">
        <v>43709</v>
      </c>
      <c r="J37" t="str">
        <v>سعودي تأمينات</v>
      </c>
      <c r="K37" t="str">
        <v>نعم</v>
      </c>
      <c r="L37" t="str">
        <v>السعودية</v>
      </c>
      <c r="M37" t="str">
        <v>مسلم</v>
      </c>
      <c r="N37" t="str">
        <v>متزوج</v>
      </c>
      <c r="O37" t="str">
        <v>السعودية</v>
      </c>
      <c r="P37" t="str">
        <v>لا</v>
      </c>
      <c r="Q37" t="str">
        <v>معلم</v>
      </c>
      <c r="S37" t="str">
        <v xml:space="preserve">5 سنه 0 شهر 4 يوم </v>
      </c>
      <c r="T37" t="str">
        <v>5</v>
      </c>
      <c r="U37" t="str">
        <v>544005446</v>
      </c>
      <c r="X37" t="str">
        <v>1026450542@al-tanmiah.com</v>
      </c>
      <c r="AC37" t="str">
        <v>بنك</v>
      </c>
      <c r="AD37" t="str">
        <v>SA2105000068200244806002</v>
      </c>
      <c r="AE37" t="str">
        <v>185</v>
      </c>
      <c r="AF37" t="str">
        <v>لا</v>
      </c>
      <c r="AG37" t="str">
        <v>الرياض</v>
      </c>
      <c r="AH37" t="str">
        <v>مدارس دار القلم</v>
      </c>
    </row>
    <row r="38">
      <c r="A38">
        <v>186</v>
      </c>
      <c r="B38" t="str">
        <v>ابتدائي</v>
      </c>
      <c r="C38" t="str">
        <v>عهود فالح فاتل الرويلي</v>
      </c>
      <c r="E38" t="str">
        <v>نورة محمد عاتق العتيبي</v>
      </c>
      <c r="F38">
        <v>31620</v>
      </c>
      <c r="G38" t="str">
        <v>1072851387</v>
      </c>
      <c r="H38">
        <v>43849</v>
      </c>
      <c r="I38">
        <v>43849</v>
      </c>
      <c r="J38" t="str">
        <v>سعودي تأمينات</v>
      </c>
      <c r="K38" t="str">
        <v>نعم</v>
      </c>
      <c r="L38" t="str">
        <v>السعودية</v>
      </c>
      <c r="M38" t="str">
        <v>مسلم</v>
      </c>
      <c r="N38" t="str">
        <v>متزوج</v>
      </c>
      <c r="O38" t="str">
        <v>السعودية</v>
      </c>
      <c r="P38" t="str">
        <v>لا</v>
      </c>
      <c r="Q38" t="str">
        <v>معلم</v>
      </c>
      <c r="S38" t="str">
        <v xml:space="preserve">4 سنه 7 شهر 17 يوم </v>
      </c>
      <c r="T38" t="str">
        <v>4</v>
      </c>
      <c r="U38" t="str">
        <v>555958725</v>
      </c>
      <c r="X38" t="str">
        <v>1072851387@al-tanmiah.com</v>
      </c>
      <c r="AC38" t="str">
        <v>بنك</v>
      </c>
      <c r="AD38" t="str">
        <v>SA4405000068201196317000</v>
      </c>
      <c r="AE38" t="str">
        <v>186</v>
      </c>
      <c r="AF38" t="str">
        <v>لا</v>
      </c>
      <c r="AG38" t="str">
        <v>الرياض</v>
      </c>
      <c r="AH38" t="str">
        <v>مدارس دار القلم</v>
      </c>
    </row>
    <row r="39">
      <c r="A39">
        <v>187</v>
      </c>
      <c r="B39" t="str">
        <v>ابتدائي</v>
      </c>
      <c r="C39" t="str">
        <v>فاطمة فالح غزاي المطيري</v>
      </c>
      <c r="E39" t="str">
        <v>نورة محمد عاتق العتيبي</v>
      </c>
      <c r="F39">
        <v>33039</v>
      </c>
      <c r="G39" t="str">
        <v>1066502152</v>
      </c>
      <c r="H39">
        <v>43849</v>
      </c>
      <c r="I39">
        <v>43849</v>
      </c>
      <c r="J39" t="str">
        <v>سعودي تأمينات</v>
      </c>
      <c r="K39" t="str">
        <v>نعم</v>
      </c>
      <c r="L39" t="str">
        <v>السعودية</v>
      </c>
      <c r="M39" t="str">
        <v>مسلم</v>
      </c>
      <c r="N39" t="str">
        <v>متزوج</v>
      </c>
      <c r="O39" t="str">
        <v>السعودية</v>
      </c>
      <c r="P39" t="str">
        <v>لا</v>
      </c>
      <c r="Q39" t="str">
        <v>معلم</v>
      </c>
      <c r="S39" t="str">
        <v xml:space="preserve">4 سنه 7 شهر 17 يوم </v>
      </c>
      <c r="T39" t="str">
        <v>4</v>
      </c>
      <c r="U39" t="str">
        <v>532676237</v>
      </c>
      <c r="X39" t="str">
        <v>1066502152@al-tanmiah.com</v>
      </c>
      <c r="AC39" t="str">
        <v>بنك</v>
      </c>
      <c r="AD39" t="str">
        <v>SA1205000068201174938000</v>
      </c>
      <c r="AE39" t="str">
        <v>187</v>
      </c>
      <c r="AF39" t="str">
        <v>لا</v>
      </c>
      <c r="AG39" t="str">
        <v>الرياض</v>
      </c>
      <c r="AH39" t="str">
        <v>مدارس دار القلم</v>
      </c>
    </row>
    <row r="40">
      <c r="A40">
        <v>191</v>
      </c>
      <c r="B40" t="str">
        <v>متوسط</v>
      </c>
      <c r="C40" t="str">
        <v>سلطانه مدعث عونان البقمي</v>
      </c>
      <c r="E40" t="str">
        <v>نورة محمد عاتق العتيبي</v>
      </c>
      <c r="F40">
        <v>33257</v>
      </c>
      <c r="G40" t="str">
        <v>1078713391</v>
      </c>
      <c r="H40">
        <v>44535</v>
      </c>
      <c r="I40">
        <v>44535</v>
      </c>
      <c r="J40" t="str">
        <v>سعودي تأمينات</v>
      </c>
      <c r="K40" t="str">
        <v>نعم</v>
      </c>
      <c r="L40" t="str">
        <v>السعودية</v>
      </c>
      <c r="M40" t="str">
        <v>مسلم</v>
      </c>
      <c r="N40" t="str">
        <v>متزوج</v>
      </c>
      <c r="O40" t="str">
        <v>السعودية</v>
      </c>
      <c r="P40" t="str">
        <v>لا</v>
      </c>
      <c r="Q40" t="str">
        <v>معلم</v>
      </c>
      <c r="S40" t="str">
        <v xml:space="preserve">2 سنه 9 شهر 0 يوم </v>
      </c>
      <c r="T40" t="str">
        <v>3</v>
      </c>
      <c r="U40" t="str">
        <v>551491226</v>
      </c>
      <c r="X40" t="str">
        <v>1078713391@al-tanmiah.com</v>
      </c>
      <c r="AC40" t="str">
        <v>بنك</v>
      </c>
      <c r="AD40" t="str">
        <v>SA7505000068204499808000</v>
      </c>
      <c r="AE40" t="str">
        <v>191</v>
      </c>
      <c r="AF40" t="str">
        <v>لا</v>
      </c>
      <c r="AG40" t="str">
        <v>الرياض</v>
      </c>
      <c r="AH40" t="str">
        <v>مدارس دار القلم</v>
      </c>
    </row>
    <row r="41">
      <c r="A41">
        <v>192</v>
      </c>
      <c r="B41" t="str">
        <v>ثانوي</v>
      </c>
      <c r="C41" t="str">
        <v>لطيفه سعد عبد الرحمن المسعر</v>
      </c>
      <c r="E41" t="str">
        <v>نورة محمد عاتق العتيبي</v>
      </c>
      <c r="F41">
        <v>33394</v>
      </c>
      <c r="G41" t="str">
        <v>1082129105</v>
      </c>
      <c r="H41">
        <v>44469</v>
      </c>
      <c r="I41">
        <v>44469</v>
      </c>
      <c r="J41" t="str">
        <v>سعودي تأمينات</v>
      </c>
      <c r="K41" t="str">
        <v>نعم</v>
      </c>
      <c r="L41" t="str">
        <v>السعودية</v>
      </c>
      <c r="M41" t="str">
        <v>مسلم</v>
      </c>
      <c r="N41" t="str">
        <v>متزوج</v>
      </c>
      <c r="O41" t="str">
        <v>السعودية</v>
      </c>
      <c r="P41" t="str">
        <v>لا</v>
      </c>
      <c r="Q41" t="str">
        <v>محضر مختبر</v>
      </c>
      <c r="S41" t="str">
        <v xml:space="preserve">2 سنه 11 شهر 6 يوم </v>
      </c>
      <c r="T41" t="str">
        <v>3</v>
      </c>
      <c r="U41" t="str">
        <v>539121234</v>
      </c>
      <c r="X41" t="str">
        <v>1082129105@al-tanmiah.com</v>
      </c>
      <c r="AC41" t="str">
        <v>بنك</v>
      </c>
      <c r="AD41" t="str">
        <v>SA5205000068204498037000</v>
      </c>
      <c r="AE41" t="str">
        <v>192</v>
      </c>
      <c r="AF41" t="str">
        <v>لا</v>
      </c>
      <c r="AG41" t="str">
        <v>الرياض</v>
      </c>
      <c r="AH41" t="str">
        <v>مدارس دار القلم</v>
      </c>
    </row>
    <row r="42">
      <c r="A42">
        <v>195</v>
      </c>
      <c r="B42" t="str">
        <v>رياض أطفال</v>
      </c>
      <c r="C42" t="str">
        <v>اثير محمد سعد الحربي</v>
      </c>
      <c r="E42" t="str">
        <v>نورة محمد عاتق العتيبي</v>
      </c>
      <c r="F42">
        <v>35792</v>
      </c>
      <c r="G42" t="str">
        <v>1101391603</v>
      </c>
      <c r="H42">
        <v>44580</v>
      </c>
      <c r="I42">
        <v>44580</v>
      </c>
      <c r="J42" t="str">
        <v>سعودي تأمينات</v>
      </c>
      <c r="K42" t="str">
        <v>نعم</v>
      </c>
      <c r="L42" t="str">
        <v>السعودية</v>
      </c>
      <c r="M42" t="str">
        <v>مسلم</v>
      </c>
      <c r="N42" t="str">
        <v>أعزب</v>
      </c>
      <c r="O42" t="str">
        <v>السعودية</v>
      </c>
      <c r="P42" t="str">
        <v>لا</v>
      </c>
      <c r="Q42" t="str">
        <v>معلم</v>
      </c>
      <c r="S42" t="str">
        <v xml:space="preserve">2 سنه 7 شهر 17 يوم </v>
      </c>
      <c r="T42" t="str">
        <v>2</v>
      </c>
      <c r="U42" t="str">
        <v>535375812</v>
      </c>
      <c r="X42" t="str">
        <v>1101391603@al-tanmiah.com</v>
      </c>
      <c r="AC42" t="str">
        <v>بنك</v>
      </c>
      <c r="AD42" t="str">
        <v>SA1305000068204499399000</v>
      </c>
      <c r="AE42" t="str">
        <v>195</v>
      </c>
      <c r="AF42" t="str">
        <v>لا</v>
      </c>
      <c r="AG42" t="str">
        <v>الرياض</v>
      </c>
      <c r="AH42" t="str">
        <v>مدارس دار القلم</v>
      </c>
    </row>
    <row r="43">
      <c r="A43">
        <v>201</v>
      </c>
      <c r="B43" t="str">
        <v>رياض أطفال</v>
      </c>
      <c r="C43" t="str">
        <v>ساره فهد عبدالله العجمي</v>
      </c>
      <c r="E43" t="str">
        <v>نورة محمد عاتق العتيبي</v>
      </c>
      <c r="F43">
        <v>31650</v>
      </c>
      <c r="G43" t="str">
        <v>1070000169</v>
      </c>
      <c r="H43">
        <v>44640</v>
      </c>
      <c r="I43">
        <v>44640</v>
      </c>
      <c r="J43" t="str">
        <v>سعودي تأمينات</v>
      </c>
      <c r="K43" t="str">
        <v>نعم</v>
      </c>
      <c r="L43" t="str">
        <v>السعودية</v>
      </c>
      <c r="M43" t="str">
        <v>مسلم</v>
      </c>
      <c r="N43" t="str">
        <v>متزوج</v>
      </c>
      <c r="O43" t="str">
        <v>السعودية</v>
      </c>
      <c r="P43" t="str">
        <v>لا</v>
      </c>
      <c r="Q43" t="str">
        <v>معلم</v>
      </c>
      <c r="S43" t="str">
        <v xml:space="preserve">2 سنه 5 شهر 16 يوم </v>
      </c>
      <c r="T43" t="str">
        <v>2</v>
      </c>
      <c r="U43" t="str">
        <v>551391313</v>
      </c>
      <c r="X43" t="str">
        <v>1070000169@al-tanmiah.com</v>
      </c>
      <c r="AC43" t="str">
        <v>بنك</v>
      </c>
      <c r="AD43" t="str">
        <v>SA8705000068204380937000</v>
      </c>
      <c r="AE43" t="str">
        <v>201</v>
      </c>
      <c r="AF43" t="str">
        <v>لا</v>
      </c>
      <c r="AG43" t="str">
        <v>الرياض</v>
      </c>
      <c r="AH43" t="str">
        <v>مدارس دار القلم</v>
      </c>
    </row>
    <row r="44">
      <c r="A44">
        <v>208</v>
      </c>
      <c r="B44" t="str">
        <v>إدارة المجمع</v>
      </c>
      <c r="C44" t="str">
        <v>حميده فلاح حميدي العنزي</v>
      </c>
      <c r="F44">
        <v>27230</v>
      </c>
      <c r="G44" t="str">
        <v>1000674232</v>
      </c>
      <c r="H44">
        <v>43814</v>
      </c>
      <c r="I44">
        <v>43814</v>
      </c>
      <c r="J44" t="str">
        <v>سعودي تأمينات</v>
      </c>
      <c r="K44" t="str">
        <v>نعم</v>
      </c>
      <c r="L44" t="str">
        <v>السعودية</v>
      </c>
      <c r="M44" t="str">
        <v>مسلم</v>
      </c>
      <c r="N44" t="str">
        <v>متزوج</v>
      </c>
      <c r="O44" t="str">
        <v>السعودية</v>
      </c>
      <c r="P44" t="str">
        <v>لا</v>
      </c>
      <c r="Q44" t="str">
        <v>مدير مجمع</v>
      </c>
      <c r="S44" t="str">
        <v xml:space="preserve">4 سنه 8 شهر 21 يوم </v>
      </c>
      <c r="T44" t="str">
        <v>5</v>
      </c>
      <c r="U44" t="str">
        <v>544613987</v>
      </c>
      <c r="X44" t="str">
        <v>1000674232@al-tanmiah.com</v>
      </c>
      <c r="AC44" t="str">
        <v>بنك</v>
      </c>
      <c r="AD44" t="str">
        <v>SA2205000068204495242000</v>
      </c>
      <c r="AE44" t="str">
        <v>208</v>
      </c>
      <c r="AF44" t="str">
        <v>لا</v>
      </c>
      <c r="AG44" t="str">
        <v>الرياض</v>
      </c>
      <c r="AH44" t="str">
        <v>مدارس دار القلم</v>
      </c>
    </row>
    <row r="45">
      <c r="A45">
        <v>215</v>
      </c>
      <c r="B45" t="str">
        <v>ابتدائي</v>
      </c>
      <c r="C45" t="str">
        <v>نورة مدعث عونان البقمي</v>
      </c>
      <c r="E45" t="str">
        <v>نورة محمد عاتق العتيبي</v>
      </c>
      <c r="F45">
        <v>31071</v>
      </c>
      <c r="G45" t="str">
        <v>1078713367</v>
      </c>
      <c r="H45">
        <v>43009</v>
      </c>
      <c r="I45">
        <v>43009</v>
      </c>
      <c r="J45" t="str">
        <v>سعودي تأمينات</v>
      </c>
      <c r="K45" t="str">
        <v>نعم</v>
      </c>
      <c r="L45" t="str">
        <v>السعودية</v>
      </c>
      <c r="M45" t="str">
        <v>مسلم</v>
      </c>
      <c r="N45" t="str">
        <v>متزوج</v>
      </c>
      <c r="O45" t="str">
        <v>السعودية</v>
      </c>
      <c r="P45" t="str">
        <v>لا</v>
      </c>
      <c r="Q45" t="str">
        <v>مدير مرحلة</v>
      </c>
      <c r="S45" t="str">
        <v xml:space="preserve">6 سنه 11 شهر 4 يوم </v>
      </c>
      <c r="T45" t="str">
        <v>7</v>
      </c>
      <c r="U45" t="str">
        <v>501949580</v>
      </c>
      <c r="X45" t="str">
        <v>1078713367@al-tanmiah.com</v>
      </c>
      <c r="AC45" t="str">
        <v>بنك</v>
      </c>
      <c r="AD45" t="str">
        <v>SA2605000068204080390000</v>
      </c>
      <c r="AE45" t="str">
        <v>215</v>
      </c>
      <c r="AF45" t="str">
        <v>لا</v>
      </c>
      <c r="AG45" t="str">
        <v>الرياض</v>
      </c>
      <c r="AH45" t="str">
        <v>مدارس دار القلم</v>
      </c>
    </row>
    <row r="46">
      <c r="A46">
        <v>219</v>
      </c>
      <c r="B46" t="str">
        <v>ابتدائي</v>
      </c>
      <c r="C46" t="str">
        <v>العنود عبد الله سفر الشيباني</v>
      </c>
      <c r="E46" t="str">
        <v>نورة محمد عاتق العتيبي</v>
      </c>
      <c r="F46">
        <v>31800</v>
      </c>
      <c r="G46" t="str">
        <v>1067208841</v>
      </c>
      <c r="H46">
        <v>43009</v>
      </c>
      <c r="I46">
        <v>43009</v>
      </c>
      <c r="J46" t="str">
        <v>سعودي تأمينات</v>
      </c>
      <c r="K46" t="str">
        <v>نعم</v>
      </c>
      <c r="L46" t="str">
        <v>السعودية</v>
      </c>
      <c r="M46" t="str">
        <v>مسلم</v>
      </c>
      <c r="N46" t="str">
        <v>متزوج</v>
      </c>
      <c r="O46" t="str">
        <v>السعودية</v>
      </c>
      <c r="P46" t="str">
        <v>لا</v>
      </c>
      <c r="Q46" t="str">
        <v>معلم</v>
      </c>
      <c r="S46" t="str">
        <v xml:space="preserve">6 سنه 11 شهر 4 يوم </v>
      </c>
      <c r="T46" t="str">
        <v>7</v>
      </c>
      <c r="U46" t="str">
        <v>559373729</v>
      </c>
      <c r="X46" t="str">
        <v>1067208841@al-tanmiah.com</v>
      </c>
      <c r="AC46" t="str">
        <v>بنك</v>
      </c>
      <c r="AD46" t="str">
        <v>SA2805000068204496480000</v>
      </c>
      <c r="AE46" t="str">
        <v>219</v>
      </c>
      <c r="AF46" t="str">
        <v>لا</v>
      </c>
      <c r="AG46" t="str">
        <v>الرياض</v>
      </c>
      <c r="AH46" t="str">
        <v>مدارس دار القلم</v>
      </c>
    </row>
    <row r="47">
      <c r="A47">
        <v>258</v>
      </c>
      <c r="B47" t="str">
        <v>ابتدائي</v>
      </c>
      <c r="C47" t="str">
        <v>نوف عائش شليويح الزلفي</v>
      </c>
      <c r="E47" t="str">
        <v>نورة محمد عاتق العتيبي</v>
      </c>
      <c r="F47">
        <v>29812</v>
      </c>
      <c r="G47" t="str">
        <v>1039555444</v>
      </c>
      <c r="H47">
        <v>44472</v>
      </c>
      <c r="I47">
        <v>44472</v>
      </c>
      <c r="J47" t="str">
        <v>سعودي تأمينات</v>
      </c>
      <c r="K47" t="str">
        <v>نعم</v>
      </c>
      <c r="L47" t="str">
        <v>السعودية</v>
      </c>
      <c r="M47" t="str">
        <v>مسلم</v>
      </c>
      <c r="N47" t="str">
        <v>متزوج</v>
      </c>
      <c r="O47" t="str">
        <v>السعودية</v>
      </c>
      <c r="P47" t="str">
        <v>لا</v>
      </c>
      <c r="Q47" t="str">
        <v>معلم</v>
      </c>
      <c r="S47" t="str">
        <v xml:space="preserve">2 سنه 11 شهر 2 يوم </v>
      </c>
      <c r="T47" t="str">
        <v>3</v>
      </c>
      <c r="U47" t="str">
        <v>535750688</v>
      </c>
      <c r="X47" t="str">
        <v>1039555444@al-tanmiah.com</v>
      </c>
      <c r="AC47" t="str">
        <v>بنك</v>
      </c>
      <c r="AD47" t="str">
        <v>SA6405000068204497797000</v>
      </c>
      <c r="AE47" t="str">
        <v>258</v>
      </c>
      <c r="AF47" t="str">
        <v>لا</v>
      </c>
      <c r="AG47" t="str">
        <v>الرياض</v>
      </c>
      <c r="AH47" t="str">
        <v>مدارس دار القلم</v>
      </c>
    </row>
    <row r="48">
      <c r="A48">
        <v>277</v>
      </c>
      <c r="B48" t="str">
        <v>ابتدائي</v>
      </c>
      <c r="C48" t="str">
        <v>منى مقبل عبد العزيز الخلف</v>
      </c>
      <c r="E48" t="str">
        <v>نورة محمد عاتق العتيبي</v>
      </c>
      <c r="F48">
        <v>28647</v>
      </c>
      <c r="G48" t="str">
        <v>1030800088</v>
      </c>
      <c r="H48">
        <v>43009</v>
      </c>
      <c r="I48">
        <v>43009</v>
      </c>
      <c r="J48" t="str">
        <v>سعودي تأمينات</v>
      </c>
      <c r="K48" t="str">
        <v>نعم</v>
      </c>
      <c r="L48" t="str">
        <v>السعودية</v>
      </c>
      <c r="M48" t="str">
        <v>مسلم</v>
      </c>
      <c r="N48" t="str">
        <v>متزوج</v>
      </c>
      <c r="O48" t="str">
        <v>السعودية</v>
      </c>
      <c r="P48" t="str">
        <v>لا</v>
      </c>
      <c r="Q48" t="str">
        <v>معلم</v>
      </c>
      <c r="S48" t="str">
        <v xml:space="preserve">6 سنه 11 شهر 4 يوم </v>
      </c>
      <c r="T48" t="str">
        <v>7</v>
      </c>
      <c r="U48" t="str">
        <v>555994993</v>
      </c>
      <c r="X48" t="str">
        <v>1030800088@al-tanmiah.com</v>
      </c>
      <c r="AC48" t="str">
        <v>بنك</v>
      </c>
      <c r="AD48" t="str">
        <v>SA5905000068204497800000</v>
      </c>
      <c r="AE48" t="str">
        <v>277</v>
      </c>
      <c r="AF48" t="str">
        <v>لا</v>
      </c>
      <c r="AG48" t="str">
        <v>الرياض</v>
      </c>
      <c r="AH48" t="str">
        <v>مدارس دار القلم</v>
      </c>
    </row>
    <row r="49">
      <c r="A49">
        <v>281</v>
      </c>
      <c r="B49" t="str">
        <v>متوسط</v>
      </c>
      <c r="C49" t="str">
        <v>نورة صالح محمد عبد الله السجاء</v>
      </c>
      <c r="E49" t="str">
        <v>نورة محمد عاتق العتيبي</v>
      </c>
      <c r="F49">
        <v>31315</v>
      </c>
      <c r="G49" t="str">
        <v>1088571292</v>
      </c>
      <c r="H49">
        <v>43009</v>
      </c>
      <c r="I49">
        <v>43009</v>
      </c>
      <c r="J49" t="str">
        <v>سعودي تأمينات</v>
      </c>
      <c r="K49" t="str">
        <v>نعم</v>
      </c>
      <c r="L49" t="str">
        <v>السعودية</v>
      </c>
      <c r="M49" t="str">
        <v>مسلم</v>
      </c>
      <c r="N49" t="str">
        <v>متزوج</v>
      </c>
      <c r="O49" t="str">
        <v>السعودية</v>
      </c>
      <c r="P49" t="str">
        <v>لا</v>
      </c>
      <c r="Q49" t="str">
        <v>معلم</v>
      </c>
      <c r="S49" t="str">
        <v xml:space="preserve">6 سنه 11 شهر 4 يوم </v>
      </c>
      <c r="T49" t="str">
        <v>7</v>
      </c>
      <c r="U49" t="str">
        <v>504436877</v>
      </c>
      <c r="X49" t="str">
        <v>1088571292@al-tanmiah.com</v>
      </c>
      <c r="AC49" t="str">
        <v>بنك</v>
      </c>
      <c r="AD49" t="str">
        <v>SA4305000068204497829000</v>
      </c>
      <c r="AE49" t="str">
        <v>281</v>
      </c>
      <c r="AF49" t="str">
        <v>لا</v>
      </c>
      <c r="AG49" t="str">
        <v>الرياض</v>
      </c>
      <c r="AH49" t="str">
        <v>مدارس دار القلم</v>
      </c>
    </row>
    <row r="50">
      <c r="A50">
        <v>285</v>
      </c>
      <c r="B50" t="str">
        <v>ابتدائي</v>
      </c>
      <c r="C50" t="str">
        <v>نوره عبد الله محماس المطيري</v>
      </c>
      <c r="E50" t="str">
        <v>نورة محمد عاتق العتيبي</v>
      </c>
      <c r="F50">
        <v>32291</v>
      </c>
      <c r="G50" t="str">
        <v>1072522269</v>
      </c>
      <c r="H50">
        <v>44157</v>
      </c>
      <c r="I50">
        <v>44157</v>
      </c>
      <c r="J50" t="str">
        <v>سعودي تأمينات</v>
      </c>
      <c r="K50" t="str">
        <v>نعم</v>
      </c>
      <c r="L50" t="str">
        <v>السعودية</v>
      </c>
      <c r="M50" t="str">
        <v>مسلم</v>
      </c>
      <c r="N50" t="str">
        <v>متزوج</v>
      </c>
      <c r="O50" t="str">
        <v>السعودية</v>
      </c>
      <c r="P50" t="str">
        <v>لا</v>
      </c>
      <c r="Q50" t="str">
        <v>معلم</v>
      </c>
      <c r="S50" t="str">
        <v xml:space="preserve">3 سنه 9 شهر 14 يوم </v>
      </c>
      <c r="T50" t="str">
        <v>4</v>
      </c>
      <c r="U50" t="str">
        <v>533216504</v>
      </c>
      <c r="X50" t="str">
        <v>1072522269@al-tanmiah.com</v>
      </c>
      <c r="AC50" t="str">
        <v>بنك</v>
      </c>
      <c r="AD50" t="str">
        <v>SA7105000068204495135000</v>
      </c>
      <c r="AE50" t="str">
        <v>285</v>
      </c>
      <c r="AF50" t="str">
        <v>لا</v>
      </c>
      <c r="AG50" t="str">
        <v>الرياض</v>
      </c>
      <c r="AH50" t="str">
        <v>مدارس دار القلم</v>
      </c>
    </row>
    <row r="51">
      <c r="A51">
        <v>292</v>
      </c>
      <c r="B51" t="str">
        <v>ثانوي</v>
      </c>
      <c r="C51" t="str">
        <v>بابكر محمد احمد الصديق</v>
      </c>
      <c r="E51" t="str">
        <v>معن هاني بن محمد البشر</v>
      </c>
      <c r="F51">
        <v>21551</v>
      </c>
      <c r="G51" t="str">
        <v>2115422657</v>
      </c>
      <c r="H51">
        <v>42583</v>
      </c>
      <c r="I51">
        <v>42583</v>
      </c>
      <c r="J51" t="str">
        <v>مقيم تأمينات</v>
      </c>
      <c r="K51" t="str">
        <v>نعم</v>
      </c>
      <c r="L51" t="str">
        <v>السودان</v>
      </c>
      <c r="M51" t="str">
        <v>مسلم</v>
      </c>
      <c r="N51" t="str">
        <v>متزوج</v>
      </c>
      <c r="O51" t="str">
        <v>السودان</v>
      </c>
      <c r="P51" t="str">
        <v>لا</v>
      </c>
      <c r="Q51" t="str">
        <v>حارس</v>
      </c>
      <c r="S51" t="str">
        <v xml:space="preserve">8 سنه 1 شهر 4 يوم </v>
      </c>
      <c r="T51" t="str">
        <v>8</v>
      </c>
      <c r="U51" t="str">
        <v>558281652</v>
      </c>
      <c r="X51" t="str">
        <v>2115422657@al-tanmiah.com</v>
      </c>
      <c r="AC51" t="str">
        <v>بنك</v>
      </c>
      <c r="AD51" t="str">
        <v>SA1505000068201296073001</v>
      </c>
      <c r="AE51" t="str">
        <v>292</v>
      </c>
      <c r="AF51" t="str">
        <v>لا</v>
      </c>
      <c r="AG51" t="str">
        <v>الرياض</v>
      </c>
      <c r="AH51" t="str">
        <v>مدارس دار القلم</v>
      </c>
    </row>
    <row r="52">
      <c r="A52">
        <v>293</v>
      </c>
      <c r="B52" t="str">
        <v>ابتدائي</v>
      </c>
      <c r="C52" t="str">
        <v>عاطف محمد ادريس محمد</v>
      </c>
      <c r="E52" t="str">
        <v>معن هاني بن محمد البشر</v>
      </c>
      <c r="F52">
        <v>31413</v>
      </c>
      <c r="G52" t="str">
        <v>2276755655</v>
      </c>
      <c r="H52">
        <v>42583</v>
      </c>
      <c r="I52">
        <v>42583</v>
      </c>
      <c r="J52" t="str">
        <v>مقيم تأمينات</v>
      </c>
      <c r="K52" t="str">
        <v>نعم</v>
      </c>
      <c r="L52" t="str">
        <v>السودان</v>
      </c>
      <c r="M52" t="str">
        <v>مسلم</v>
      </c>
      <c r="N52" t="str">
        <v>متزوج</v>
      </c>
      <c r="O52" t="str">
        <v>السودان</v>
      </c>
      <c r="P52" t="str">
        <v>لا</v>
      </c>
      <c r="Q52" t="str">
        <v>حارس</v>
      </c>
      <c r="S52" t="str">
        <v xml:space="preserve">8 سنه 1 شهر 4 يوم </v>
      </c>
      <c r="T52" t="str">
        <v>8</v>
      </c>
      <c r="U52" t="str">
        <v>552178464</v>
      </c>
      <c r="X52" t="str">
        <v>2276755655@al-tanmiah.com</v>
      </c>
      <c r="AC52" t="str">
        <v>بنك</v>
      </c>
      <c r="AD52" t="str">
        <v>SA1205000068202749733000</v>
      </c>
      <c r="AE52" t="str">
        <v>293</v>
      </c>
      <c r="AF52" t="str">
        <v>لا</v>
      </c>
      <c r="AG52" t="str">
        <v>الرياض</v>
      </c>
      <c r="AH52" t="str">
        <v>مدارس دار القلم</v>
      </c>
    </row>
    <row r="53">
      <c r="A53">
        <v>297</v>
      </c>
      <c r="B53" t="str">
        <v>ثانوي</v>
      </c>
      <c r="C53" t="str">
        <v>محمود حسين محمود فراج</v>
      </c>
      <c r="E53" t="str">
        <v>معن هاني بن محمد البشر</v>
      </c>
      <c r="F53">
        <v>29587</v>
      </c>
      <c r="G53" t="str">
        <v>2210353526</v>
      </c>
      <c r="H53">
        <v>42583</v>
      </c>
      <c r="I53">
        <v>42583</v>
      </c>
      <c r="J53" t="str">
        <v>مقيم تأمينات</v>
      </c>
      <c r="K53" t="str">
        <v>نعم</v>
      </c>
      <c r="L53" t="str">
        <v>مصر</v>
      </c>
      <c r="M53" t="str">
        <v>مسلم</v>
      </c>
      <c r="N53" t="str">
        <v>متزوج</v>
      </c>
      <c r="O53" t="str">
        <v>مصر</v>
      </c>
      <c r="P53" t="str">
        <v>لا</v>
      </c>
      <c r="Q53" t="str">
        <v>حارس</v>
      </c>
      <c r="S53" t="str">
        <v xml:space="preserve">8 سنه 1 شهر 4 يوم </v>
      </c>
      <c r="T53" t="str">
        <v>8</v>
      </c>
      <c r="U53" t="str">
        <v>57803303</v>
      </c>
      <c r="X53" t="str">
        <v>2210353526@al-tanmiah.com</v>
      </c>
      <c r="AC53" t="str">
        <v>بنك</v>
      </c>
      <c r="AD53" t="str">
        <v>SA9105000068204510352000</v>
      </c>
      <c r="AE53" t="str">
        <v>297</v>
      </c>
      <c r="AF53" t="str">
        <v>لا</v>
      </c>
      <c r="AG53" t="str">
        <v>الرياض</v>
      </c>
      <c r="AH53" t="str">
        <v>مدارس دار القلم</v>
      </c>
    </row>
    <row r="54">
      <c r="A54">
        <v>315</v>
      </c>
      <c r="B54" t="str">
        <v>ابتدائي</v>
      </c>
      <c r="C54" t="str">
        <v>شهيد الإسلام أنو مياه</v>
      </c>
      <c r="E54" t="str">
        <v>معن هاني بن محمد البشر</v>
      </c>
      <c r="F54">
        <v>30746</v>
      </c>
      <c r="G54" t="str">
        <v>2268093669</v>
      </c>
      <c r="H54">
        <v>42590</v>
      </c>
      <c r="I54">
        <v>42590</v>
      </c>
      <c r="J54" t="str">
        <v>مقيم تأمينات</v>
      </c>
      <c r="K54" t="str">
        <v>نعم</v>
      </c>
      <c r="L54" t="str">
        <v>بنجلاديش</v>
      </c>
      <c r="M54" t="str">
        <v>مسلم</v>
      </c>
      <c r="N54" t="str">
        <v>أعزب</v>
      </c>
      <c r="O54" t="str">
        <v>بنجلاديش</v>
      </c>
      <c r="P54" t="str">
        <v>لا</v>
      </c>
      <c r="Q54" t="str">
        <v>عامل</v>
      </c>
      <c r="S54" t="str">
        <v xml:space="preserve">8 سنه 0 شهر 28 يوم </v>
      </c>
      <c r="T54" t="str">
        <v>8</v>
      </c>
      <c r="U54" t="str">
        <v>530195994</v>
      </c>
      <c r="X54" t="str">
        <v>2268093669@al-tanmiah.com</v>
      </c>
      <c r="AC54" t="str">
        <v>بنك</v>
      </c>
      <c r="AD54" t="str">
        <v>SA9280000343608016061984</v>
      </c>
      <c r="AE54" t="str">
        <v>315</v>
      </c>
      <c r="AF54" t="str">
        <v>لا</v>
      </c>
      <c r="AG54" t="str">
        <v>الرياض</v>
      </c>
      <c r="AH54" t="str">
        <v>مدارس دار القلم</v>
      </c>
    </row>
    <row r="55">
      <c r="A55">
        <v>320</v>
      </c>
      <c r="B55" t="str">
        <v>ثانوي</v>
      </c>
      <c r="C55" t="str">
        <v>ناجندرا ساهـ</v>
      </c>
      <c r="E55" t="str">
        <v>معن هاني بن محمد البشر</v>
      </c>
      <c r="F55">
        <v>28388</v>
      </c>
      <c r="G55" t="str">
        <v>2428893388</v>
      </c>
      <c r="H55">
        <v>42743</v>
      </c>
      <c r="I55">
        <v>42743</v>
      </c>
      <c r="J55" t="str">
        <v>مقيم تأمينات</v>
      </c>
      <c r="K55" t="str">
        <v>نعم</v>
      </c>
      <c r="L55" t="str">
        <v>نيبالي</v>
      </c>
      <c r="M55" t="str">
        <v>مسلم</v>
      </c>
      <c r="N55" t="str">
        <v>أعزب</v>
      </c>
      <c r="O55" t="str">
        <v>نيبال</v>
      </c>
      <c r="P55" t="str">
        <v>لا</v>
      </c>
      <c r="Q55" t="str">
        <v>عامل</v>
      </c>
      <c r="S55" t="str">
        <v xml:space="preserve">7 سنه 7 شهر 28 يوم </v>
      </c>
      <c r="T55" t="str">
        <v>7</v>
      </c>
      <c r="U55" t="str">
        <v>500798586</v>
      </c>
      <c r="X55" t="str">
        <v>2428893388@al-tanmiah.com</v>
      </c>
      <c r="AC55" t="str">
        <v>بنك</v>
      </c>
      <c r="AD55" t="str">
        <v>SA5005000068204509329000</v>
      </c>
      <c r="AE55" t="str">
        <v>320</v>
      </c>
      <c r="AF55" t="str">
        <v>لا</v>
      </c>
      <c r="AG55" t="str">
        <v>الرياض</v>
      </c>
      <c r="AH55" t="str">
        <v>مدارس دار القلم</v>
      </c>
    </row>
    <row r="56">
      <c r="A56">
        <v>321</v>
      </c>
      <c r="B56" t="str">
        <v>ابتدائي</v>
      </c>
      <c r="C56" t="str">
        <v>بابلو مهاسيز</v>
      </c>
      <c r="E56" t="str">
        <v>معن هاني بن محمد البشر</v>
      </c>
      <c r="F56">
        <v>31581</v>
      </c>
      <c r="G56" t="str">
        <v>2428894311</v>
      </c>
      <c r="H56">
        <v>42743</v>
      </c>
      <c r="I56">
        <v>42743</v>
      </c>
      <c r="J56" t="str">
        <v>مقيم تأمينات</v>
      </c>
      <c r="K56" t="str">
        <v>نعم</v>
      </c>
      <c r="L56" t="str">
        <v>نيبالي</v>
      </c>
      <c r="M56" t="str">
        <v>مسلم</v>
      </c>
      <c r="N56" t="str">
        <v>أعزب</v>
      </c>
      <c r="O56" t="str">
        <v>نيبال</v>
      </c>
      <c r="P56" t="str">
        <v>لا</v>
      </c>
      <c r="Q56" t="str">
        <v>عامل</v>
      </c>
      <c r="S56" t="str">
        <v xml:space="preserve">7 سنه 7 شهر 28 يوم </v>
      </c>
      <c r="T56" t="str">
        <v>7</v>
      </c>
      <c r="U56" t="str">
        <v>500797687</v>
      </c>
      <c r="X56" t="str">
        <v>2428894311@al-tanmiah.com</v>
      </c>
      <c r="AC56" t="str">
        <v>بنك</v>
      </c>
      <c r="AD56" t="str">
        <v>SA3105000068204509224000</v>
      </c>
      <c r="AE56" t="str">
        <v>321</v>
      </c>
      <c r="AF56" t="str">
        <v>لا</v>
      </c>
      <c r="AG56" t="str">
        <v>الرياض</v>
      </c>
      <c r="AH56" t="str">
        <v>مدارس دار القلم</v>
      </c>
    </row>
    <row r="57">
      <c r="A57">
        <v>322</v>
      </c>
      <c r="B57" t="str">
        <v>ثانوي</v>
      </c>
      <c r="C57" t="str">
        <v>رانجيت مهاسيز</v>
      </c>
      <c r="E57" t="str">
        <v>معن هاني بن محمد البشر</v>
      </c>
      <c r="F57">
        <v>31535</v>
      </c>
      <c r="G57" t="str">
        <v>2428894089</v>
      </c>
      <c r="H57">
        <v>42743</v>
      </c>
      <c r="I57">
        <v>42743</v>
      </c>
      <c r="J57" t="str">
        <v>مقيم تأمينات</v>
      </c>
      <c r="K57" t="str">
        <v>نعم</v>
      </c>
      <c r="L57" t="str">
        <v>نيبالي</v>
      </c>
      <c r="M57" t="str">
        <v>مسلم</v>
      </c>
      <c r="N57" t="str">
        <v>أعزب</v>
      </c>
      <c r="O57" t="str">
        <v>نيبال</v>
      </c>
      <c r="P57" t="str">
        <v>لا</v>
      </c>
      <c r="Q57" t="str">
        <v>عامل</v>
      </c>
      <c r="S57" t="str">
        <v xml:space="preserve">7 سنه 7 شهر 28 يوم </v>
      </c>
      <c r="T57" t="str">
        <v>7</v>
      </c>
      <c r="U57" t="str">
        <v>500798217</v>
      </c>
      <c r="X57" t="str">
        <v>2428894089@al-tanmiah.com</v>
      </c>
      <c r="AC57" t="str">
        <v>بنك</v>
      </c>
      <c r="AD57" t="str">
        <v>SA2405000068204499955000</v>
      </c>
      <c r="AE57" t="str">
        <v>322</v>
      </c>
      <c r="AF57" t="str">
        <v>لا</v>
      </c>
      <c r="AG57" t="str">
        <v>الرياض</v>
      </c>
      <c r="AH57" t="str">
        <v>مدارس دار القلم</v>
      </c>
    </row>
    <row r="58">
      <c r="A58">
        <v>324</v>
      </c>
      <c r="B58" t="str">
        <v>متوسط</v>
      </c>
      <c r="C58" t="str">
        <v>صابير جولا</v>
      </c>
      <c r="E58" t="str">
        <v>معن هاني بن محمد البشر</v>
      </c>
      <c r="F58">
        <v>32381</v>
      </c>
      <c r="G58" t="str">
        <v>2429034354</v>
      </c>
      <c r="H58">
        <v>42743</v>
      </c>
      <c r="I58">
        <v>42743</v>
      </c>
      <c r="J58" t="str">
        <v>مقيم تأمينات</v>
      </c>
      <c r="K58" t="str">
        <v>نعم</v>
      </c>
      <c r="L58" t="str">
        <v>نيبالي</v>
      </c>
      <c r="M58" t="str">
        <v>مسلم</v>
      </c>
      <c r="N58" t="str">
        <v>أعزب</v>
      </c>
      <c r="O58" t="str">
        <v>نيبال</v>
      </c>
      <c r="P58" t="str">
        <v>لا</v>
      </c>
      <c r="Q58" t="str">
        <v>سائق</v>
      </c>
      <c r="S58" t="str">
        <v xml:space="preserve">7 سنه 7 شهر 28 يوم </v>
      </c>
      <c r="T58" t="str">
        <v>7</v>
      </c>
      <c r="U58" t="str">
        <v>500798824</v>
      </c>
      <c r="X58" t="str">
        <v>2429034354@al-tanmiah.com</v>
      </c>
      <c r="AC58" t="str">
        <v>بنك</v>
      </c>
      <c r="AD58" t="str">
        <v>SA7905000068203036774000</v>
      </c>
      <c r="AE58" t="str">
        <v>324</v>
      </c>
      <c r="AF58" t="str">
        <v>لا</v>
      </c>
      <c r="AG58" t="str">
        <v>الرياض</v>
      </c>
      <c r="AH58" t="str">
        <v>مدارس دار القلم</v>
      </c>
    </row>
    <row r="59">
      <c r="A59">
        <v>327</v>
      </c>
      <c r="B59" t="str">
        <v>متوسط</v>
      </c>
      <c r="C59" t="str">
        <v>راهول امين</v>
      </c>
      <c r="E59" t="str">
        <v>معن هاني بن محمد البشر</v>
      </c>
      <c r="F59">
        <v>31846</v>
      </c>
      <c r="G59" t="str">
        <v>2431157904</v>
      </c>
      <c r="H59">
        <v>42984</v>
      </c>
      <c r="I59">
        <v>42984</v>
      </c>
      <c r="J59" t="str">
        <v>مقيم تأمينات</v>
      </c>
      <c r="K59" t="str">
        <v>نعم</v>
      </c>
      <c r="L59" t="str">
        <v>بنجلاديش</v>
      </c>
      <c r="M59" t="str">
        <v>مسلم</v>
      </c>
      <c r="N59" t="str">
        <v>أعزب</v>
      </c>
      <c r="O59" t="str">
        <v>بنجلاديش</v>
      </c>
      <c r="P59" t="str">
        <v>لا</v>
      </c>
      <c r="Q59" t="str">
        <v>عامل</v>
      </c>
      <c r="S59" t="str">
        <v xml:space="preserve">6 سنه 11 شهر 30 يوم </v>
      </c>
      <c r="T59" t="str">
        <v>7</v>
      </c>
      <c r="U59" t="str">
        <v>536757128</v>
      </c>
      <c r="X59" t="str">
        <v>2431157904@al-tanmiah.com</v>
      </c>
      <c r="AC59" t="str">
        <v>بنك</v>
      </c>
      <c r="AD59" t="str">
        <v>SA1305000068204503861000</v>
      </c>
      <c r="AE59" t="str">
        <v>327</v>
      </c>
      <c r="AF59" t="str">
        <v>لا</v>
      </c>
      <c r="AG59" t="str">
        <v>الرياض</v>
      </c>
      <c r="AH59" t="str">
        <v>مدارس دار القلم</v>
      </c>
    </row>
    <row r="60">
      <c r="A60">
        <v>328</v>
      </c>
      <c r="B60" t="str">
        <v>ابتدائي</v>
      </c>
      <c r="C60" t="str">
        <v>نور الحق اكي اولادير</v>
      </c>
      <c r="E60" t="str">
        <v>معن هاني بن محمد البشر</v>
      </c>
      <c r="F60">
        <v>32143</v>
      </c>
      <c r="G60" t="str">
        <v>2432179014</v>
      </c>
      <c r="H60">
        <v>42988</v>
      </c>
      <c r="I60">
        <v>42988</v>
      </c>
      <c r="J60" t="str">
        <v>مقيم تأمينات</v>
      </c>
      <c r="K60" t="str">
        <v>نعم</v>
      </c>
      <c r="L60" t="str">
        <v>بنجلاديش</v>
      </c>
      <c r="M60" t="str">
        <v>مسلم</v>
      </c>
      <c r="N60" t="str">
        <v>أعزب</v>
      </c>
      <c r="O60" t="str">
        <v>بنجلاديش</v>
      </c>
      <c r="P60" t="str">
        <v>لا</v>
      </c>
      <c r="Q60" t="str">
        <v>عامل</v>
      </c>
      <c r="S60" t="str">
        <v xml:space="preserve">6 سنه 11 شهر 26 يوم </v>
      </c>
      <c r="T60" t="str">
        <v>7</v>
      </c>
      <c r="U60" t="str">
        <v>572293461</v>
      </c>
      <c r="X60" t="str">
        <v>2432179014@al-tanmiah.com</v>
      </c>
      <c r="AC60" t="str">
        <v>بنك</v>
      </c>
      <c r="AD60" t="str">
        <v>SA2805000068204515783000</v>
      </c>
      <c r="AE60" t="str">
        <v>328</v>
      </c>
      <c r="AF60" t="str">
        <v>لا</v>
      </c>
      <c r="AG60" t="str">
        <v>الرياض</v>
      </c>
      <c r="AH60" t="str">
        <v>مدارس دار القلم</v>
      </c>
    </row>
    <row r="61">
      <c r="A61">
        <v>329</v>
      </c>
      <c r="B61" t="str">
        <v>إدارة المجمع</v>
      </c>
      <c r="C61" t="str">
        <v>جيرالد اوغستين</v>
      </c>
      <c r="E61" t="str">
        <v>معن هاني بن محمد البشر</v>
      </c>
      <c r="F61">
        <v>33581</v>
      </c>
      <c r="G61" t="str">
        <v>2443914516</v>
      </c>
      <c r="H61">
        <v>43046</v>
      </c>
      <c r="I61">
        <v>43046</v>
      </c>
      <c r="J61" t="str">
        <v>مقيم تأمينات</v>
      </c>
      <c r="K61" t="str">
        <v>نعم</v>
      </c>
      <c r="L61" t="str">
        <v>الفلبين</v>
      </c>
      <c r="M61" t="str">
        <v>غير مسلم</v>
      </c>
      <c r="N61" t="str">
        <v>أعزب</v>
      </c>
      <c r="O61" t="str">
        <v>الفلبين</v>
      </c>
      <c r="P61" t="str">
        <v>لا</v>
      </c>
      <c r="Q61" t="str">
        <v>عامل</v>
      </c>
      <c r="S61" t="str">
        <v xml:space="preserve">6 سنه 9 شهر 29 يوم </v>
      </c>
      <c r="T61" t="str">
        <v>7</v>
      </c>
      <c r="U61" t="str">
        <v>573082979</v>
      </c>
      <c r="X61" t="str">
        <v>2443914516@al-tanmiah.com</v>
      </c>
      <c r="AC61" t="str">
        <v>بنك</v>
      </c>
      <c r="AD61" t="str">
        <v>SA2905000068204507712000</v>
      </c>
      <c r="AE61" t="str">
        <v>329</v>
      </c>
      <c r="AF61" t="str">
        <v>لا</v>
      </c>
      <c r="AG61" t="str">
        <v>الرياض</v>
      </c>
      <c r="AH61" t="str">
        <v>مدارس دار القلم</v>
      </c>
    </row>
    <row r="62">
      <c r="A62">
        <v>333</v>
      </c>
      <c r="B62" t="str">
        <v>ابتدائي</v>
      </c>
      <c r="C62" t="str">
        <v>ماريا كرستينا ديلباز ايجناسيو</v>
      </c>
      <c r="E62" t="str">
        <v>معن هاني بن محمد البشر</v>
      </c>
      <c r="F62">
        <v>22809</v>
      </c>
      <c r="G62" t="str">
        <v>2444246132</v>
      </c>
      <c r="H62">
        <v>43016</v>
      </c>
      <c r="I62">
        <v>43016</v>
      </c>
      <c r="J62" t="str">
        <v>مقيم تأمينات</v>
      </c>
      <c r="K62" t="str">
        <v>نعم</v>
      </c>
      <c r="L62" t="str">
        <v>الفلبين</v>
      </c>
      <c r="M62" t="str">
        <v>غير مسلم</v>
      </c>
      <c r="N62" t="str">
        <v>أعزب</v>
      </c>
      <c r="O62" t="str">
        <v>الفلبين</v>
      </c>
      <c r="P62" t="str">
        <v>لا</v>
      </c>
      <c r="Q62" t="str">
        <v>عامل</v>
      </c>
      <c r="S62" t="str">
        <v xml:space="preserve">6 سنه 10 شهر 28 يوم </v>
      </c>
      <c r="T62" t="str">
        <v>7</v>
      </c>
      <c r="U62" t="str">
        <v>503676439</v>
      </c>
      <c r="X62" t="str">
        <v>2444246132@al-tanmiah.com</v>
      </c>
      <c r="AC62" t="str">
        <v>بنك</v>
      </c>
      <c r="AD62" t="str">
        <v>SA8305000068202914183000</v>
      </c>
      <c r="AE62" t="str">
        <v>333</v>
      </c>
      <c r="AF62" t="str">
        <v>لا</v>
      </c>
      <c r="AG62" t="str">
        <v>الرياض</v>
      </c>
      <c r="AH62" t="str">
        <v>مدارس دار القلم</v>
      </c>
    </row>
    <row r="63">
      <c r="A63">
        <v>339</v>
      </c>
      <c r="B63" t="str">
        <v>متوسط</v>
      </c>
      <c r="C63" t="str">
        <v>نورمينا ساماما دا تولو كاس</v>
      </c>
      <c r="E63" t="str">
        <v>معن هاني بن محمد البشر</v>
      </c>
      <c r="F63">
        <v>31233</v>
      </c>
      <c r="G63" t="str">
        <v>2442596553</v>
      </c>
      <c r="H63">
        <v>43016</v>
      </c>
      <c r="I63">
        <v>43016</v>
      </c>
      <c r="J63" t="str">
        <v>مقيم تأمينات</v>
      </c>
      <c r="K63" t="str">
        <v>نعم</v>
      </c>
      <c r="L63" t="str">
        <v>الفلبين</v>
      </c>
      <c r="M63" t="str">
        <v>غير مسلم</v>
      </c>
      <c r="N63" t="str">
        <v>أعزب</v>
      </c>
      <c r="O63" t="str">
        <v>الفلبين</v>
      </c>
      <c r="P63" t="str">
        <v>لا</v>
      </c>
      <c r="Q63" t="str">
        <v>عامل</v>
      </c>
      <c r="S63" t="str">
        <v xml:space="preserve">6 سنه 10 شهر 28 يوم </v>
      </c>
      <c r="T63" t="str">
        <v>7</v>
      </c>
      <c r="U63" t="str">
        <v>558016470</v>
      </c>
      <c r="X63" t="str">
        <v>2442596553@al-tanmiah.com</v>
      </c>
      <c r="AC63" t="str">
        <v>بنك</v>
      </c>
      <c r="AD63" t="str">
        <v>SA4905000068204499358000</v>
      </c>
      <c r="AE63" t="str">
        <v>339</v>
      </c>
      <c r="AF63" t="str">
        <v>لا</v>
      </c>
      <c r="AG63" t="str">
        <v>الرياض</v>
      </c>
      <c r="AH63" t="str">
        <v>مدارس دار القلم</v>
      </c>
    </row>
    <row r="64">
      <c r="A64">
        <v>341</v>
      </c>
      <c r="B64" t="str">
        <v>متوسط</v>
      </c>
      <c r="C64" t="str">
        <v>لوسيلا نينادا كابانيرو</v>
      </c>
      <c r="E64" t="str">
        <v>معن هاني بن محمد البشر</v>
      </c>
      <c r="F64">
        <v>25799</v>
      </c>
      <c r="G64" t="str">
        <v>2444621433</v>
      </c>
      <c r="H64">
        <v>43016</v>
      </c>
      <c r="I64">
        <v>43016</v>
      </c>
      <c r="J64" t="str">
        <v>مقيم تأمينات</v>
      </c>
      <c r="K64" t="str">
        <v>نعم</v>
      </c>
      <c r="L64" t="str">
        <v>الفلبين</v>
      </c>
      <c r="M64" t="str">
        <v>غير مسلم</v>
      </c>
      <c r="N64" t="str">
        <v>أعزب</v>
      </c>
      <c r="O64" t="str">
        <v>الفلبين</v>
      </c>
      <c r="P64" t="str">
        <v>لا</v>
      </c>
      <c r="Q64" t="str">
        <v>عامل</v>
      </c>
      <c r="S64" t="str">
        <v xml:space="preserve">6 سنه 10 شهر 28 يوم </v>
      </c>
      <c r="T64" t="str">
        <v>7</v>
      </c>
      <c r="U64" t="str">
        <v>503306948</v>
      </c>
      <c r="X64" t="str">
        <v>2444621433@al-tanmiah.com</v>
      </c>
      <c r="AC64" t="str">
        <v>بنك</v>
      </c>
      <c r="AD64" t="str">
        <v>SA7205000068204499092000</v>
      </c>
      <c r="AE64" t="str">
        <v>341</v>
      </c>
      <c r="AF64" t="str">
        <v>لا</v>
      </c>
      <c r="AG64" t="str">
        <v>الرياض</v>
      </c>
      <c r="AH64" t="str">
        <v>مدارس دار القلم</v>
      </c>
    </row>
    <row r="65">
      <c r="A65">
        <v>344</v>
      </c>
      <c r="B65" t="str">
        <v>رياض أطفال</v>
      </c>
      <c r="C65" t="str">
        <v>ميشيل كالدو توبالاس</v>
      </c>
      <c r="E65" t="str">
        <v>معن هاني بن محمد البشر</v>
      </c>
      <c r="F65">
        <v>33386</v>
      </c>
      <c r="G65" t="str">
        <v>2442596603</v>
      </c>
      <c r="H65">
        <v>43016</v>
      </c>
      <c r="I65">
        <v>43016</v>
      </c>
      <c r="J65" t="str">
        <v>مقيم تأمينات</v>
      </c>
      <c r="K65" t="str">
        <v>نعم</v>
      </c>
      <c r="L65" t="str">
        <v>الفلبين</v>
      </c>
      <c r="M65" t="str">
        <v>غير مسلم</v>
      </c>
      <c r="N65" t="str">
        <v>أعزب</v>
      </c>
      <c r="O65" t="str">
        <v>الفلبين</v>
      </c>
      <c r="P65" t="str">
        <v>لا</v>
      </c>
      <c r="Q65" t="str">
        <v>عامل</v>
      </c>
      <c r="S65" t="str">
        <v xml:space="preserve">6 سنه 10 شهر 28 يوم </v>
      </c>
      <c r="T65" t="str">
        <v>7</v>
      </c>
      <c r="U65" t="str">
        <v>570456403</v>
      </c>
      <c r="X65" t="str">
        <v>2442596603@al-tanmiah.com</v>
      </c>
      <c r="AC65" t="str">
        <v>بنك</v>
      </c>
      <c r="AD65" t="str">
        <v>SA6205000068204498904000</v>
      </c>
      <c r="AE65" t="str">
        <v>344</v>
      </c>
      <c r="AF65" t="str">
        <v>لا</v>
      </c>
      <c r="AG65" t="str">
        <v>الرياض</v>
      </c>
      <c r="AH65" t="str">
        <v>مدارس دار القلم</v>
      </c>
    </row>
    <row r="66">
      <c r="A66">
        <v>345</v>
      </c>
      <c r="B66" t="str">
        <v>ثانوي</v>
      </c>
      <c r="C66" t="str">
        <v>نورهايا اولانجكايا اوبون</v>
      </c>
      <c r="E66" t="str">
        <v>معن هاني بن محمد البشر</v>
      </c>
      <c r="F66">
        <v>29883</v>
      </c>
      <c r="G66" t="str">
        <v>2442596967</v>
      </c>
      <c r="H66">
        <v>43016</v>
      </c>
      <c r="I66">
        <v>43016</v>
      </c>
      <c r="J66" t="str">
        <v>مقيم تأمينات</v>
      </c>
      <c r="K66" t="str">
        <v>نعم</v>
      </c>
      <c r="L66" t="str">
        <v>الفلبين</v>
      </c>
      <c r="M66" t="str">
        <v>مسلم</v>
      </c>
      <c r="N66" t="str">
        <v>أعزب</v>
      </c>
      <c r="O66" t="str">
        <v>الفلبين</v>
      </c>
      <c r="P66" t="str">
        <v>لا</v>
      </c>
      <c r="Q66" t="str">
        <v>عامل</v>
      </c>
      <c r="S66" t="str">
        <v xml:space="preserve">6 سنه 10 شهر 28 يوم </v>
      </c>
      <c r="T66" t="str">
        <v>7</v>
      </c>
      <c r="U66" t="str">
        <v>590520282</v>
      </c>
      <c r="X66" t="str">
        <v>2442596967@al-tanmiah.com</v>
      </c>
      <c r="AC66" t="str">
        <v>بنك</v>
      </c>
      <c r="AD66" t="str">
        <v>SA6305000068204499078000</v>
      </c>
      <c r="AE66" t="str">
        <v>345</v>
      </c>
      <c r="AF66" t="str">
        <v>لا</v>
      </c>
      <c r="AG66" t="str">
        <v>الرياض</v>
      </c>
      <c r="AH66" t="str">
        <v>مدارس دار القلم</v>
      </c>
    </row>
    <row r="67">
      <c r="A67">
        <v>347</v>
      </c>
      <c r="B67" t="str">
        <v>ابتدائي</v>
      </c>
      <c r="C67" t="str">
        <v>شيلما هادجردين جمديني</v>
      </c>
      <c r="E67" t="str">
        <v>معن هاني بن محمد البشر</v>
      </c>
      <c r="F67">
        <v>33156</v>
      </c>
      <c r="G67" t="str">
        <v>2444621714</v>
      </c>
      <c r="H67">
        <v>43016</v>
      </c>
      <c r="I67">
        <v>43016</v>
      </c>
      <c r="J67" t="str">
        <v>مقيم تأمينات</v>
      </c>
      <c r="K67" t="str">
        <v>نعم</v>
      </c>
      <c r="L67" t="str">
        <v>الفلبين</v>
      </c>
      <c r="M67" t="str">
        <v>غير مسلم</v>
      </c>
      <c r="N67" t="str">
        <v>أعزب</v>
      </c>
      <c r="O67" t="str">
        <v>الفلبين</v>
      </c>
      <c r="P67" t="str">
        <v>لا</v>
      </c>
      <c r="Q67" t="str">
        <v>عامل</v>
      </c>
      <c r="S67" t="str">
        <v xml:space="preserve">6 سنه 10 شهر 28 يوم </v>
      </c>
      <c r="T67" t="str">
        <v>7</v>
      </c>
      <c r="U67" t="str">
        <v>580348678</v>
      </c>
      <c r="X67" t="str">
        <v>2444621714@al-tanmiah.com</v>
      </c>
      <c r="AC67" t="str">
        <v>بنك</v>
      </c>
      <c r="AD67" t="str">
        <v>SA8405000068204508649000</v>
      </c>
      <c r="AE67" t="str">
        <v>347</v>
      </c>
      <c r="AF67" t="str">
        <v>لا</v>
      </c>
      <c r="AG67" t="str">
        <v>الرياض</v>
      </c>
      <c r="AH67" t="str">
        <v>مدارس دار القلم</v>
      </c>
    </row>
    <row r="68">
      <c r="A68">
        <v>1794</v>
      </c>
      <c r="B68" t="str">
        <v>ثانوي</v>
      </c>
      <c r="C68" t="str">
        <v>نورة عبدالرحمن صالح العيسى</v>
      </c>
      <c r="E68" t="str">
        <v>اشراق محمد احمد الزهراني</v>
      </c>
      <c r="F68">
        <v>31757</v>
      </c>
      <c r="G68" t="str">
        <v>1062623994</v>
      </c>
      <c r="H68">
        <v>44066</v>
      </c>
      <c r="I68">
        <v>44066</v>
      </c>
      <c r="J68" t="str">
        <v>سعودي تأمينات</v>
      </c>
      <c r="K68" t="str">
        <v>نعم</v>
      </c>
      <c r="L68" t="str">
        <v>السعودية</v>
      </c>
      <c r="M68" t="str">
        <v>مسلم</v>
      </c>
      <c r="N68" t="str">
        <v>أعزب</v>
      </c>
      <c r="O68" t="str">
        <v>السعودية</v>
      </c>
      <c r="P68" t="str">
        <v>لا</v>
      </c>
      <c r="Q68" t="str">
        <v>مساعد إداري</v>
      </c>
      <c r="S68" t="str">
        <v xml:space="preserve">4 سنه 0 شهر 13 يوم </v>
      </c>
      <c r="T68" t="str">
        <v>4</v>
      </c>
      <c r="U68" t="str">
        <v>0509 330 086</v>
      </c>
      <c r="X68" t="str">
        <v>Naa_1444@hotmail.com</v>
      </c>
      <c r="AC68" t="str">
        <v>بنك</v>
      </c>
      <c r="AD68" t="str">
        <v>SA6405000068201275263000</v>
      </c>
      <c r="AE68" t="str">
        <v>1794</v>
      </c>
      <c r="AF68" t="str">
        <v>لا</v>
      </c>
      <c r="AG68" t="str">
        <v>الرياض</v>
      </c>
      <c r="AH68" t="str">
        <v>مدارس دار القلم</v>
      </c>
    </row>
    <row r="69">
      <c r="A69">
        <v>2461</v>
      </c>
      <c r="B69" t="str">
        <v>ابتدائي</v>
      </c>
      <c r="C69" t="str">
        <v>نورة منصور هجرس العتيبي</v>
      </c>
      <c r="E69" t="str">
        <v>نورة محمد عاتق العتيبي</v>
      </c>
      <c r="F69">
        <v>35557</v>
      </c>
      <c r="G69" t="str">
        <v>1094668694</v>
      </c>
      <c r="H69">
        <v>44796</v>
      </c>
      <c r="I69">
        <v>44796</v>
      </c>
      <c r="J69" t="str">
        <v>سعودي تأمينات</v>
      </c>
      <c r="K69" t="str">
        <v>نعم</v>
      </c>
      <c r="L69" t="str">
        <v>السعودية</v>
      </c>
      <c r="M69" t="str">
        <v>مسلم</v>
      </c>
      <c r="N69" t="str">
        <v>متزوج</v>
      </c>
      <c r="O69" t="str">
        <v>السعودية</v>
      </c>
      <c r="P69" t="str">
        <v>لا</v>
      </c>
      <c r="Q69" t="str">
        <v>موجه طلابي</v>
      </c>
      <c r="S69" t="str">
        <v xml:space="preserve">2 سنه 0 شهر 13 يوم </v>
      </c>
      <c r="T69" t="str">
        <v>2</v>
      </c>
      <c r="U69" t="str">
        <v>0558535905</v>
      </c>
      <c r="X69" t="str">
        <v>Nouraalmnsourr1@gmail.com</v>
      </c>
      <c r="AC69" t="str">
        <v>بنك</v>
      </c>
      <c r="AD69" t="str">
        <v>SA8605000068204497357000</v>
      </c>
      <c r="AE69" t="str">
        <v>2461</v>
      </c>
      <c r="AF69" t="str">
        <v>لا</v>
      </c>
      <c r="AG69" t="str">
        <v>الرياض</v>
      </c>
      <c r="AH69" t="str">
        <v>مدارس دار القلم</v>
      </c>
    </row>
    <row r="70">
      <c r="A70">
        <v>2548</v>
      </c>
      <c r="B70" t="str">
        <v>متوسط</v>
      </c>
      <c r="C70" t="str">
        <v>فيصل حسين جزاء الحربي</v>
      </c>
      <c r="E70" t="str">
        <v>نورة محمد عاتق العتيبي</v>
      </c>
      <c r="F70">
        <v>35228</v>
      </c>
      <c r="G70" t="str">
        <v>1092961612</v>
      </c>
      <c r="H70">
        <v>44801</v>
      </c>
      <c r="I70">
        <v>44801</v>
      </c>
      <c r="J70" t="str">
        <v>سعودي تأمينات</v>
      </c>
      <c r="K70" t="str">
        <v>نعم</v>
      </c>
      <c r="L70" t="str">
        <v>السعودية</v>
      </c>
      <c r="M70" t="str">
        <v>مسلم</v>
      </c>
      <c r="N70" t="str">
        <v>أعزب</v>
      </c>
      <c r="O70" t="str">
        <v>السعودية</v>
      </c>
      <c r="P70" t="str">
        <v>لا</v>
      </c>
      <c r="Q70" t="str">
        <v>معلم</v>
      </c>
      <c r="S70" t="str">
        <v xml:space="preserve">2 سنه 0 شهر 8 يوم </v>
      </c>
      <c r="T70" t="str">
        <v>2</v>
      </c>
      <c r="U70" t="str">
        <v>566631354</v>
      </c>
      <c r="X70" t="str">
        <v>faisal.1996me@gmail.com</v>
      </c>
      <c r="AC70" t="str">
        <v>بنك</v>
      </c>
      <c r="AD70" t="str">
        <v>SA1205000068204539092000</v>
      </c>
      <c r="AE70" t="str">
        <v>2548</v>
      </c>
      <c r="AF70" t="str">
        <v>لا</v>
      </c>
      <c r="AG70" t="str">
        <v>الرياض</v>
      </c>
      <c r="AH70" t="str">
        <v>مدارس دار القلم</v>
      </c>
    </row>
    <row r="71">
      <c r="A71">
        <v>2580</v>
      </c>
      <c r="B71" t="str">
        <v>إدارة المجمع</v>
      </c>
      <c r="C71" t="str">
        <v>محمد عبدالله محمد العتيبي</v>
      </c>
      <c r="F71">
        <v>33738</v>
      </c>
      <c r="G71" t="str">
        <v>1090621549</v>
      </c>
      <c r="H71">
        <v>44794</v>
      </c>
      <c r="I71">
        <v>44794</v>
      </c>
      <c r="J71" t="str">
        <v>سعودي تأمينات</v>
      </c>
      <c r="K71" t="str">
        <v>نعم</v>
      </c>
      <c r="L71" t="str">
        <v>السعودية</v>
      </c>
      <c r="M71" t="str">
        <v>مسلم</v>
      </c>
      <c r="N71" t="str">
        <v>متزوج</v>
      </c>
      <c r="O71" t="str">
        <v>السعودية</v>
      </c>
      <c r="P71" t="str">
        <v>لا</v>
      </c>
      <c r="Q71" t="str">
        <v>مدير مجمع</v>
      </c>
      <c r="S71" t="str">
        <v xml:space="preserve">2 سنه 0 شهر 15 يوم </v>
      </c>
      <c r="T71" t="str">
        <v>2</v>
      </c>
      <c r="U71" t="str">
        <v>560009630</v>
      </c>
      <c r="X71" t="str">
        <v>mm60009630@gmail.com</v>
      </c>
      <c r="AC71" t="str">
        <v>بنك</v>
      </c>
      <c r="AD71" t="str">
        <v>SA4605000068204496120000</v>
      </c>
      <c r="AE71" t="str">
        <v>2580</v>
      </c>
      <c r="AF71" t="str">
        <v>لا</v>
      </c>
      <c r="AG71" t="str">
        <v>الرياض</v>
      </c>
      <c r="AH71" t="str">
        <v>مدارس دار القلم</v>
      </c>
    </row>
    <row r="72">
      <c r="A72">
        <v>2608</v>
      </c>
      <c r="B72" t="str">
        <v>ابتدائي</v>
      </c>
      <c r="C72" t="str">
        <v>سلمان بن حمد بن سليمان الفراج</v>
      </c>
      <c r="E72" t="str">
        <v>نورة محمد عاتق العتيبي</v>
      </c>
      <c r="F72">
        <v>36250</v>
      </c>
      <c r="G72" t="str">
        <v>1103049928</v>
      </c>
      <c r="H72">
        <v>44817</v>
      </c>
      <c r="I72">
        <v>44817</v>
      </c>
      <c r="J72" t="str">
        <v>سعودي تأمينات</v>
      </c>
      <c r="K72" t="str">
        <v>نعم</v>
      </c>
      <c r="L72" t="str">
        <v>السعودية</v>
      </c>
      <c r="M72" t="str">
        <v>مسلم</v>
      </c>
      <c r="N72" t="str">
        <v>أعزب</v>
      </c>
      <c r="O72" t="str">
        <v>السعودية</v>
      </c>
      <c r="P72" t="str">
        <v>لا</v>
      </c>
      <c r="Q72" t="str">
        <v>معلم</v>
      </c>
      <c r="S72" t="str">
        <v xml:space="preserve">1 سنه 11 شهر 23 يوم </v>
      </c>
      <c r="T72" t="str">
        <v>2</v>
      </c>
      <c r="U72" t="str">
        <v>538394028</v>
      </c>
      <c r="X72" t="str">
        <v>salmanhamadalfarraj@gmail.com</v>
      </c>
      <c r="AC72" t="str">
        <v>بنك</v>
      </c>
      <c r="AD72" t="str">
        <v>SA5305000068204496465000</v>
      </c>
      <c r="AE72" t="str">
        <v>2608</v>
      </c>
      <c r="AF72" t="str">
        <v>لا</v>
      </c>
      <c r="AG72" t="str">
        <v>الرياض</v>
      </c>
      <c r="AH72" t="str">
        <v>مدارس دار القلم</v>
      </c>
    </row>
    <row r="73">
      <c r="A73">
        <v>2625</v>
      </c>
      <c r="B73" t="str">
        <v>ثانوي</v>
      </c>
      <c r="C73" t="str">
        <v>مشعل حمود الحميدي الشمري</v>
      </c>
      <c r="E73" t="str">
        <v>نورة محمد عاتق العتيبي</v>
      </c>
      <c r="F73">
        <v>35412</v>
      </c>
      <c r="G73" t="str">
        <v>1096150808</v>
      </c>
      <c r="H73">
        <v>44829</v>
      </c>
      <c r="I73">
        <v>44829</v>
      </c>
      <c r="J73" t="str">
        <v>سعودي تأمينات</v>
      </c>
      <c r="K73" t="str">
        <v>نعم</v>
      </c>
      <c r="L73" t="str">
        <v>السعودية</v>
      </c>
      <c r="M73" t="str">
        <v>مسلم</v>
      </c>
      <c r="N73" t="str">
        <v>أعزب</v>
      </c>
      <c r="O73" t="str">
        <v>السعودية</v>
      </c>
      <c r="P73" t="str">
        <v>لا</v>
      </c>
      <c r="Q73" t="str">
        <v>موجه طلابي</v>
      </c>
      <c r="S73" t="str">
        <v xml:space="preserve">1 سنه 11 شهر 11 يوم </v>
      </c>
      <c r="T73" t="str">
        <v>2</v>
      </c>
      <c r="U73" t="str">
        <v>555829582</v>
      </c>
      <c r="X73" t="str">
        <v>meshal.4370@hotmail.com</v>
      </c>
      <c r="AC73" t="str">
        <v>بنك</v>
      </c>
      <c r="AD73" t="str">
        <v>SA6805000068204496165000</v>
      </c>
      <c r="AE73" t="str">
        <v>2625</v>
      </c>
      <c r="AF73" t="str">
        <v>لا</v>
      </c>
      <c r="AG73" t="str">
        <v>الرياض</v>
      </c>
      <c r="AH73" t="str">
        <v>مدارس دار القلم</v>
      </c>
    </row>
    <row r="74">
      <c r="A74">
        <v>2738</v>
      </c>
      <c r="B74" t="str">
        <v>ابتدائي</v>
      </c>
      <c r="C74" t="str">
        <v>احمد محمد علي عسيري</v>
      </c>
      <c r="E74" t="str">
        <v>نورة محمد عاتق العتيبي</v>
      </c>
      <c r="F74">
        <v>34485</v>
      </c>
      <c r="G74" t="str">
        <v>1085820189</v>
      </c>
      <c r="H74">
        <v>44857</v>
      </c>
      <c r="I74">
        <v>44857</v>
      </c>
      <c r="J74" t="str">
        <v>سعودي تأمينات</v>
      </c>
      <c r="K74" t="str">
        <v>نعم</v>
      </c>
      <c r="L74" t="str">
        <v>السعودية</v>
      </c>
      <c r="M74" t="str">
        <v>مسلم</v>
      </c>
      <c r="P74" t="str">
        <v>لا</v>
      </c>
      <c r="Q74" t="str">
        <v>معلم</v>
      </c>
      <c r="S74" t="str">
        <v xml:space="preserve">1 سنه 10 شهر 13 يوم </v>
      </c>
      <c r="T74" t="str">
        <v>2</v>
      </c>
      <c r="U74" t="str">
        <v>0551269975</v>
      </c>
      <c r="X74" t="str">
        <v>ahmed0551269975@gmail.com</v>
      </c>
      <c r="AC74" t="str">
        <v>بنك</v>
      </c>
      <c r="AD74" t="str">
        <v>SA3810000046172699000103</v>
      </c>
      <c r="AE74" t="str">
        <v>2738</v>
      </c>
      <c r="AF74" t="str">
        <v>لا</v>
      </c>
      <c r="AG74" t="str">
        <v>الرياض</v>
      </c>
      <c r="AH74" t="str">
        <v>مدارس دار القلم</v>
      </c>
    </row>
    <row r="75">
      <c r="A75">
        <v>2832</v>
      </c>
      <c r="B75" t="str">
        <v>ثانوي</v>
      </c>
      <c r="C75" t="str">
        <v>رفيده سامي عواد الجهني</v>
      </c>
      <c r="E75" t="str">
        <v>نورة محمد عاتق العتيبي</v>
      </c>
      <c r="F75">
        <v>36543</v>
      </c>
      <c r="G75" t="str">
        <v>1107277327</v>
      </c>
      <c r="H75">
        <v>45048</v>
      </c>
      <c r="I75">
        <v>45048</v>
      </c>
      <c r="J75" t="str">
        <v>سعودي تأمينات</v>
      </c>
      <c r="K75" t="str">
        <v>نعم</v>
      </c>
      <c r="L75" t="str">
        <v>السعودية</v>
      </c>
      <c r="M75" t="str">
        <v>مسلم</v>
      </c>
      <c r="P75" t="str">
        <v>لا</v>
      </c>
      <c r="Q75" t="str">
        <v>معلم</v>
      </c>
      <c r="S75" t="str">
        <v xml:space="preserve">1 سنه 4 شهر 3 يوم </v>
      </c>
      <c r="T75" t="str">
        <v>1</v>
      </c>
      <c r="U75" t="str">
        <v>0568384899</v>
      </c>
      <c r="X75" t="str">
        <v>rof7idhh0696@gmail.com</v>
      </c>
      <c r="AC75" t="str">
        <v>بنك</v>
      </c>
      <c r="AD75" t="str">
        <v>SA2505000068204154518000</v>
      </c>
      <c r="AE75" t="str">
        <v>2832</v>
      </c>
      <c r="AF75" t="str">
        <v>لا</v>
      </c>
      <c r="AG75" t="str">
        <v>الرياض</v>
      </c>
      <c r="AH75" t="str">
        <v>مدارس دار القلم</v>
      </c>
    </row>
    <row r="76">
      <c r="A76">
        <v>2862</v>
      </c>
      <c r="B76" t="str">
        <v>ثانوي</v>
      </c>
      <c r="C76" t="str">
        <v>نوف سبتي راجي العنزي</v>
      </c>
      <c r="E76" t="str">
        <v>نورة محمد عاتق العتيبي</v>
      </c>
      <c r="F76">
        <v>34788</v>
      </c>
      <c r="G76" t="str">
        <v>1091881795</v>
      </c>
      <c r="H76">
        <v>44927</v>
      </c>
      <c r="I76">
        <v>44927</v>
      </c>
      <c r="J76" t="str">
        <v>سعودي تأمينات</v>
      </c>
      <c r="K76" t="str">
        <v>نعم</v>
      </c>
      <c r="L76" t="str">
        <v>السعودية</v>
      </c>
      <c r="M76" t="str">
        <v>مسلم</v>
      </c>
      <c r="P76" t="str">
        <v>لا</v>
      </c>
      <c r="Q76" t="str">
        <v>معلم</v>
      </c>
      <c r="S76" t="str">
        <v xml:space="preserve">1 سنه 8 شهر 4 يوم </v>
      </c>
      <c r="T76" t="str">
        <v>1</v>
      </c>
      <c r="U76" t="str">
        <v>0503784850</v>
      </c>
      <c r="X76" t="str">
        <v>nnoouuff0@gmail.com</v>
      </c>
      <c r="AC76" t="str">
        <v>بنك</v>
      </c>
      <c r="AD76" t="str">
        <v>SA3005000068204498671000</v>
      </c>
      <c r="AE76" t="str">
        <v>2862</v>
      </c>
      <c r="AF76" t="str">
        <v>لا</v>
      </c>
      <c r="AG76" t="str">
        <v>الرياض</v>
      </c>
      <c r="AH76" t="str">
        <v>مدارس دار القلم</v>
      </c>
    </row>
    <row r="77">
      <c r="A77">
        <v>2895</v>
      </c>
      <c r="B77" t="str">
        <v>إدارة المجمع</v>
      </c>
      <c r="C77" t="str">
        <v>مها محمد ابن ابراهيم العتيبي</v>
      </c>
      <c r="E77" t="str">
        <v>عبدالله عبدالمجيد عبدالرحمن الرشيد</v>
      </c>
      <c r="F77">
        <v>36714</v>
      </c>
      <c r="G77" t="str">
        <v>1113598666</v>
      </c>
      <c r="H77">
        <v>44950</v>
      </c>
      <c r="I77">
        <v>44950</v>
      </c>
      <c r="J77" t="str">
        <v>سعودي تأمينات</v>
      </c>
      <c r="K77" t="str">
        <v>نعم</v>
      </c>
      <c r="L77" t="str">
        <v>السعودية</v>
      </c>
      <c r="M77" t="str">
        <v>مسلم</v>
      </c>
      <c r="P77" t="str">
        <v>لا</v>
      </c>
      <c r="Q77" t="str">
        <v>تسجيل وتحصيل</v>
      </c>
      <c r="S77" t="str">
        <v xml:space="preserve">1 سنه 7 شهر 12 يوم </v>
      </c>
      <c r="T77" t="str">
        <v>1</v>
      </c>
      <c r="U77" t="str">
        <v>0594467396</v>
      </c>
      <c r="X77" t="str">
        <v>ismahamouq@hotmail.com</v>
      </c>
      <c r="AC77" t="str">
        <v>بنك</v>
      </c>
      <c r="AD77" t="str">
        <v>SA8205000068204400728000</v>
      </c>
      <c r="AE77" t="str">
        <v>2895</v>
      </c>
      <c r="AF77" t="str">
        <v>لا</v>
      </c>
      <c r="AG77" t="str">
        <v>الرياض</v>
      </c>
      <c r="AH77" t="str">
        <v>مدارس دار القلم</v>
      </c>
    </row>
    <row r="78">
      <c r="A78">
        <v>3028</v>
      </c>
      <c r="B78" t="str">
        <v>ثانوي</v>
      </c>
      <c r="C78" t="str">
        <v>ابو بكر   صديق</v>
      </c>
      <c r="E78" t="str">
        <v>معن هاني بن محمد البشر</v>
      </c>
      <c r="F78">
        <v>32786</v>
      </c>
      <c r="G78" t="str">
        <v>2539904892</v>
      </c>
      <c r="H78">
        <v>45139</v>
      </c>
      <c r="I78">
        <v>45139</v>
      </c>
      <c r="J78" t="str">
        <v>مقيم تأمينات</v>
      </c>
      <c r="K78" t="str">
        <v>نعم</v>
      </c>
      <c r="L78" t="str">
        <v>بنجلاديش</v>
      </c>
      <c r="M78" t="str">
        <v>مسلم</v>
      </c>
      <c r="N78" t="str">
        <v>أعزب</v>
      </c>
      <c r="O78" t="str">
        <v>بنجلاديش</v>
      </c>
      <c r="P78" t="str">
        <v>لا</v>
      </c>
      <c r="Q78" t="str">
        <v>سائق</v>
      </c>
      <c r="S78" t="str">
        <v xml:space="preserve">1 سنه 1 شهر 4 يوم </v>
      </c>
      <c r="T78" t="str">
        <v>1</v>
      </c>
      <c r="U78" t="str">
        <v>571650936</v>
      </c>
      <c r="X78" t="str">
        <v>seddikmd83@gmail.com</v>
      </c>
      <c r="AC78" t="str">
        <v>بنك</v>
      </c>
      <c r="AD78" t="str">
        <v>SA1530400197088754810019</v>
      </c>
      <c r="AE78" t="str">
        <v>3028</v>
      </c>
      <c r="AF78" t="str">
        <v>لا</v>
      </c>
      <c r="AG78" t="str">
        <v>الرياض</v>
      </c>
      <c r="AH78" t="str">
        <v>مدارس دار القلم</v>
      </c>
    </row>
    <row r="79">
      <c r="A79">
        <v>3060</v>
      </c>
      <c r="B79" t="str">
        <v>ابتدائي</v>
      </c>
      <c r="C79" t="str">
        <v>هياء برجس شعيفان السهلي</v>
      </c>
      <c r="E79" t="str">
        <v>نورة محمد عاتق العتيبي</v>
      </c>
      <c r="F79">
        <v>30001</v>
      </c>
      <c r="G79" t="str">
        <v>1037857370</v>
      </c>
      <c r="H79">
        <v>45151</v>
      </c>
      <c r="I79">
        <v>45151</v>
      </c>
      <c r="J79" t="str">
        <v>سعودي تأمينات</v>
      </c>
      <c r="K79" t="str">
        <v>نعم</v>
      </c>
      <c r="L79" t="str">
        <v>السعودية</v>
      </c>
      <c r="M79" t="str">
        <v>مسلم</v>
      </c>
      <c r="N79" t="str">
        <v>متزوج</v>
      </c>
      <c r="P79" t="str">
        <v>لا</v>
      </c>
      <c r="Q79" t="str">
        <v>معلم</v>
      </c>
      <c r="S79" t="str">
        <v xml:space="preserve">1 سنه 0 شهر 23 يوم </v>
      </c>
      <c r="T79" t="str">
        <v>1</v>
      </c>
      <c r="U79" t="str">
        <v>0554003339</v>
      </c>
      <c r="X79" t="str">
        <v>hionh.33@gmail.com</v>
      </c>
      <c r="AC79" t="str">
        <v>بنك</v>
      </c>
      <c r="AD79" t="str">
        <v>SA4880000412608010131268</v>
      </c>
      <c r="AE79" t="str">
        <v>3060</v>
      </c>
      <c r="AF79" t="str">
        <v>لا</v>
      </c>
      <c r="AG79" t="str">
        <v>الرياض</v>
      </c>
      <c r="AH79" t="str">
        <v>مدارس دار القلم</v>
      </c>
    </row>
    <row r="80">
      <c r="A80">
        <v>3067</v>
      </c>
      <c r="B80" t="str">
        <v>ابتدائي</v>
      </c>
      <c r="C80" t="str">
        <v>محمد ابراهيم عبد اللطيف السيد</v>
      </c>
      <c r="E80" t="str">
        <v>نورة محمد عاتق العتيبي</v>
      </c>
      <c r="F80">
        <v>30934</v>
      </c>
      <c r="G80" t="str">
        <v>2555223862</v>
      </c>
      <c r="H80">
        <v>45152</v>
      </c>
      <c r="I80">
        <v>45152</v>
      </c>
      <c r="J80" t="str">
        <v>مقيم تأمينات</v>
      </c>
      <c r="K80" t="str">
        <v>نعم</v>
      </c>
      <c r="L80" t="str">
        <v>مصر</v>
      </c>
      <c r="M80" t="str">
        <v>مسلم</v>
      </c>
      <c r="N80" t="str">
        <v>أعزب</v>
      </c>
      <c r="O80" t="str">
        <v>مصر</v>
      </c>
      <c r="P80" t="str">
        <v>لا</v>
      </c>
      <c r="Q80" t="str">
        <v>معلم</v>
      </c>
      <c r="S80" t="str">
        <v xml:space="preserve">1 سنه 0 شهر 22 يوم </v>
      </c>
      <c r="T80" t="str">
        <v>1</v>
      </c>
      <c r="U80" t="str">
        <v>?</v>
      </c>
      <c r="X80" t="str">
        <v>3132283478@altanmiyah.edu.sa</v>
      </c>
      <c r="AC80" t="str">
        <v>بنك</v>
      </c>
      <c r="AD80" t="str">
        <v>SA5005000068204877929000</v>
      </c>
      <c r="AE80" t="str">
        <v>3067</v>
      </c>
      <c r="AF80" t="str">
        <v>لا</v>
      </c>
      <c r="AG80" t="str">
        <v>الرياض</v>
      </c>
      <c r="AH80" t="str">
        <v>مدارس دار القلم</v>
      </c>
    </row>
    <row r="81">
      <c r="A81">
        <v>3069</v>
      </c>
      <c r="B81" t="str">
        <v>ثانوي</v>
      </c>
      <c r="C81" t="str">
        <v>محمد على سالم سليم</v>
      </c>
      <c r="E81" t="str">
        <v>نورة محمد عاتق العتيبي</v>
      </c>
      <c r="F81">
        <v>31193</v>
      </c>
      <c r="G81" t="str">
        <v>2555224332</v>
      </c>
      <c r="H81">
        <v>45153</v>
      </c>
      <c r="I81">
        <v>45153</v>
      </c>
      <c r="J81" t="str">
        <v>مقيم تأمينات</v>
      </c>
      <c r="K81" t="str">
        <v>نعم</v>
      </c>
      <c r="L81" t="str">
        <v>مصر</v>
      </c>
      <c r="M81" t="str">
        <v>مسلم</v>
      </c>
      <c r="N81" t="str">
        <v>أعزب</v>
      </c>
      <c r="O81" t="str">
        <v>مصر</v>
      </c>
      <c r="P81" t="str">
        <v>لا</v>
      </c>
      <c r="Q81" t="str">
        <v>معلم</v>
      </c>
      <c r="S81" t="str">
        <v xml:space="preserve">1 سنه 0 شهر 21 يوم </v>
      </c>
      <c r="T81" t="str">
        <v>1</v>
      </c>
      <c r="U81" t="str">
        <v>?</v>
      </c>
      <c r="X81" t="str">
        <v>3132283783@altanmiyah.edu.sa</v>
      </c>
      <c r="AC81" t="str">
        <v>بنك</v>
      </c>
      <c r="AD81" t="str">
        <v>SA4805000068204880685000</v>
      </c>
      <c r="AE81" t="str">
        <v>3069</v>
      </c>
      <c r="AF81" t="str">
        <v>لا</v>
      </c>
      <c r="AG81" t="str">
        <v>الرياض</v>
      </c>
      <c r="AH81" t="str">
        <v>مدارس دار القلم</v>
      </c>
    </row>
    <row r="82">
      <c r="A82">
        <v>3070</v>
      </c>
      <c r="B82" t="str">
        <v>ثانوي</v>
      </c>
      <c r="C82" t="str">
        <v>فارس مصباح على عبد الرحمن</v>
      </c>
      <c r="E82" t="str">
        <v>نورة محمد عاتق العتيبي</v>
      </c>
      <c r="F82">
        <v>36096</v>
      </c>
      <c r="G82" t="str">
        <v>2555220850</v>
      </c>
      <c r="H82">
        <v>45151</v>
      </c>
      <c r="I82">
        <v>45151</v>
      </c>
      <c r="J82" t="str">
        <v>مقيم تأمينات</v>
      </c>
      <c r="K82" t="str">
        <v>نعم</v>
      </c>
      <c r="L82" t="str">
        <v>مصر</v>
      </c>
      <c r="M82" t="str">
        <v>مسلم</v>
      </c>
      <c r="N82" t="str">
        <v>أعزب</v>
      </c>
      <c r="O82" t="str">
        <v>مصر</v>
      </c>
      <c r="P82" t="str">
        <v>لا</v>
      </c>
      <c r="Q82" t="str">
        <v>معلم</v>
      </c>
      <c r="S82" t="str">
        <v xml:space="preserve">1 سنه 0 شهر 23 يوم </v>
      </c>
      <c r="T82" t="str">
        <v>1</v>
      </c>
      <c r="U82" t="str">
        <v>?</v>
      </c>
      <c r="X82" t="str">
        <v>3132283791@altanmiyah.edu.sa</v>
      </c>
      <c r="AC82" t="str">
        <v>بنك</v>
      </c>
      <c r="AD82" t="str">
        <v>SA4305000068204884277000</v>
      </c>
      <c r="AE82" t="str">
        <v>3070</v>
      </c>
      <c r="AF82" t="str">
        <v>لا</v>
      </c>
      <c r="AG82" t="str">
        <v>الرياض</v>
      </c>
      <c r="AH82" t="str">
        <v>مدارس دار القلم</v>
      </c>
    </row>
    <row r="83">
      <c r="A83">
        <v>3079</v>
      </c>
      <c r="B83" t="str">
        <v>ثانوي</v>
      </c>
      <c r="C83" t="str">
        <v>محمد سيد عبد الجواد عبد الله</v>
      </c>
      <c r="E83" t="str">
        <v>نورة محمد عاتق العتيبي</v>
      </c>
      <c r="F83">
        <v>35282</v>
      </c>
      <c r="G83" t="str">
        <v>2554811279</v>
      </c>
      <c r="H83">
        <v>45151</v>
      </c>
      <c r="I83">
        <v>45151</v>
      </c>
      <c r="J83" t="str">
        <v>مقيم تأمينات</v>
      </c>
      <c r="K83" t="str">
        <v>نعم</v>
      </c>
      <c r="L83" t="str">
        <v>مصر</v>
      </c>
      <c r="M83" t="str">
        <v>مسلم</v>
      </c>
      <c r="N83" t="str">
        <v>أعزب</v>
      </c>
      <c r="O83" t="str">
        <v>مصر</v>
      </c>
      <c r="P83" t="str">
        <v>لا</v>
      </c>
      <c r="Q83" t="str">
        <v>معلم</v>
      </c>
      <c r="S83" t="str">
        <v xml:space="preserve">1 سنه 0 شهر 23 يوم </v>
      </c>
      <c r="T83" t="str">
        <v>1</v>
      </c>
      <c r="U83" t="str">
        <v>?</v>
      </c>
      <c r="X83" t="str">
        <v>3148735172@altanmiyah.edu.sa</v>
      </c>
      <c r="AC83" t="str">
        <v>بنك</v>
      </c>
      <c r="AD83" t="str">
        <v>SA3580000640608012671299</v>
      </c>
      <c r="AE83" t="str">
        <v>3079</v>
      </c>
      <c r="AF83" t="str">
        <v>لا</v>
      </c>
      <c r="AG83" t="str">
        <v>الرياض</v>
      </c>
      <c r="AH83" t="str">
        <v>مدارس دار القلم</v>
      </c>
    </row>
    <row r="84">
      <c r="A84">
        <v>3100</v>
      </c>
      <c r="B84" t="str">
        <v>ثانوي</v>
      </c>
      <c r="C84" t="str">
        <v>محمد عبد المنعم ابراهيم احمد</v>
      </c>
      <c r="E84" t="str">
        <v>نورة محمد عاتق العتيبي</v>
      </c>
      <c r="F84">
        <v>36008</v>
      </c>
      <c r="G84" t="str">
        <v>2555873526</v>
      </c>
      <c r="H84">
        <v>45158</v>
      </c>
      <c r="I84">
        <v>45158</v>
      </c>
      <c r="J84" t="str">
        <v>مقيم تأمينات</v>
      </c>
      <c r="K84" t="str">
        <v>نعم</v>
      </c>
      <c r="L84" t="str">
        <v>مصر</v>
      </c>
      <c r="M84" t="str">
        <v>مسلم</v>
      </c>
      <c r="N84" t="str">
        <v>أعزب</v>
      </c>
      <c r="O84" t="str">
        <v>مصر</v>
      </c>
      <c r="P84" t="str">
        <v>لا</v>
      </c>
      <c r="Q84" t="str">
        <v>معلم</v>
      </c>
      <c r="S84" t="str">
        <v xml:space="preserve">1 سنه 0 شهر 16 يوم </v>
      </c>
      <c r="T84" t="str">
        <v>1</v>
      </c>
      <c r="U84" t="str">
        <v>18</v>
      </c>
      <c r="X84" t="str">
        <v>3132283999@altanmiyah.edu.sa</v>
      </c>
      <c r="AC84" t="str">
        <v>بنك</v>
      </c>
      <c r="AD84" t="str">
        <v>SA7405000068204901117000</v>
      </c>
      <c r="AE84" t="str">
        <v>3100</v>
      </c>
      <c r="AF84" t="str">
        <v>لا</v>
      </c>
      <c r="AG84" t="str">
        <v>الرياض</v>
      </c>
      <c r="AH84" t="str">
        <v>مدارس دار القلم</v>
      </c>
    </row>
    <row r="85">
      <c r="A85">
        <v>3107</v>
      </c>
      <c r="B85" t="str">
        <v>ثانوي</v>
      </c>
      <c r="C85" t="str">
        <v>دينا محمد حسن شعبان</v>
      </c>
      <c r="E85" t="str">
        <v>نورة محمد عاتق العتيبي</v>
      </c>
      <c r="F85">
        <v>36412</v>
      </c>
      <c r="G85" t="str">
        <v>2555226188</v>
      </c>
      <c r="H85">
        <v>45155</v>
      </c>
      <c r="I85">
        <v>45155</v>
      </c>
      <c r="J85" t="str">
        <v>مقيم تأمينات</v>
      </c>
      <c r="K85" t="str">
        <v>نعم</v>
      </c>
      <c r="L85" t="str">
        <v>مصر</v>
      </c>
      <c r="M85" t="str">
        <v>مسلم</v>
      </c>
      <c r="N85" t="str">
        <v>أعزب</v>
      </c>
      <c r="O85" t="str">
        <v>مصر</v>
      </c>
      <c r="P85" t="str">
        <v>لا</v>
      </c>
      <c r="Q85" t="str">
        <v>معلم</v>
      </c>
      <c r="S85" t="str">
        <v xml:space="preserve">1 سنه 0 شهر 19 يوم </v>
      </c>
      <c r="T85" t="str">
        <v>1</v>
      </c>
      <c r="U85" t="str">
        <v>0548509166</v>
      </c>
      <c r="X85" t="str">
        <v>3141629463@altanmiyah.edu.sa</v>
      </c>
      <c r="AC85" t="str">
        <v>بنك</v>
      </c>
      <c r="AD85" t="str">
        <v>SA0305000068204885562000</v>
      </c>
      <c r="AE85" t="str">
        <v>3107</v>
      </c>
      <c r="AF85" t="str">
        <v>لا</v>
      </c>
      <c r="AG85" t="str">
        <v>الرياض</v>
      </c>
      <c r="AH85" t="str">
        <v>مدارس دار القلم</v>
      </c>
    </row>
    <row r="86">
      <c r="A86">
        <v>3206</v>
      </c>
      <c r="B86" t="str">
        <v>ثانوي</v>
      </c>
      <c r="C86" t="str">
        <v>وضحى مطلق العتيبي</v>
      </c>
      <c r="E86" t="str">
        <v>نورة محمد عاتق العتيبي</v>
      </c>
      <c r="F86">
        <v>32962</v>
      </c>
      <c r="G86" t="str">
        <v>1076370491</v>
      </c>
      <c r="H86">
        <v>45158</v>
      </c>
      <c r="I86">
        <v>45158</v>
      </c>
      <c r="J86" t="str">
        <v>سعودي تأمينات</v>
      </c>
      <c r="K86" t="str">
        <v>نعم</v>
      </c>
      <c r="L86" t="str">
        <v>السعودية</v>
      </c>
      <c r="M86" t="str">
        <v>مسلم</v>
      </c>
      <c r="N86" t="str">
        <v>متزوج</v>
      </c>
      <c r="O86" t="str">
        <v>السعودية</v>
      </c>
      <c r="P86" t="str">
        <v>لا</v>
      </c>
      <c r="Q86" t="str">
        <v>معلم</v>
      </c>
      <c r="S86" t="str">
        <v xml:space="preserve">1 سنه 0 شهر 16 يوم </v>
      </c>
      <c r="T86" t="str">
        <v>1</v>
      </c>
      <c r="U86" t="str">
        <v>500777013</v>
      </c>
      <c r="X86" t="str">
        <v>ww_asd@icloud.com</v>
      </c>
      <c r="AC86" t="str">
        <v>بنك</v>
      </c>
      <c r="AD86" t="str">
        <v>SA9480000359608010164033</v>
      </c>
      <c r="AE86" t="str">
        <v>3206</v>
      </c>
      <c r="AF86" t="str">
        <v>لا</v>
      </c>
      <c r="AG86" t="str">
        <v>الرياض</v>
      </c>
      <c r="AH86" t="str">
        <v>مدارس دار القلم</v>
      </c>
    </row>
    <row r="87">
      <c r="A87">
        <v>3207</v>
      </c>
      <c r="B87" t="str">
        <v>ثانوي</v>
      </c>
      <c r="C87" t="str">
        <v>نهال سليمان  الشبرمي</v>
      </c>
      <c r="E87" t="str">
        <v>نورة محمد عاتق العتيبي</v>
      </c>
      <c r="F87">
        <v>34864</v>
      </c>
      <c r="G87" t="str">
        <v>1086472568</v>
      </c>
      <c r="H87">
        <v>45158</v>
      </c>
      <c r="I87">
        <v>45158</v>
      </c>
      <c r="J87" t="str">
        <v>سعودي تأمينات</v>
      </c>
      <c r="K87" t="str">
        <v>نعم</v>
      </c>
      <c r="L87" t="str">
        <v>السعودية</v>
      </c>
      <c r="M87" t="str">
        <v>مسلم</v>
      </c>
      <c r="N87" t="str">
        <v>متزوج</v>
      </c>
      <c r="O87" t="str">
        <v>السعودية</v>
      </c>
      <c r="P87" t="str">
        <v>لا</v>
      </c>
      <c r="Q87" t="str">
        <v>معلم</v>
      </c>
      <c r="S87" t="str">
        <v xml:space="preserve">1 سنه 0 شهر 16 يوم </v>
      </c>
      <c r="T87" t="str">
        <v>1</v>
      </c>
      <c r="U87" t="str">
        <v>500131813</v>
      </c>
      <c r="X87" t="str">
        <v>Nehalalshobrami@hotmail.com</v>
      </c>
      <c r="AC87" t="str">
        <v>بنك</v>
      </c>
      <c r="AD87" t="str">
        <v>SA8905000068204924097000</v>
      </c>
      <c r="AE87" t="str">
        <v>3207</v>
      </c>
      <c r="AF87" t="str">
        <v>لا</v>
      </c>
      <c r="AG87" t="str">
        <v>الرياض</v>
      </c>
      <c r="AH87" t="str">
        <v>مدارس دار القلم</v>
      </c>
    </row>
    <row r="88">
      <c r="A88">
        <v>3213</v>
      </c>
      <c r="B88" t="str">
        <v>ثانوي</v>
      </c>
      <c r="C88" t="str">
        <v>ريم محمد بعيجان الحربي</v>
      </c>
      <c r="E88" t="str">
        <v>نورة محمد عاتق العتيبي</v>
      </c>
      <c r="F88">
        <v>32502</v>
      </c>
      <c r="G88" t="str">
        <v>1058962182</v>
      </c>
      <c r="H88">
        <v>45158</v>
      </c>
      <c r="I88">
        <v>45158</v>
      </c>
      <c r="J88" t="str">
        <v>سعودي تأمينات</v>
      </c>
      <c r="K88" t="str">
        <v>نعم</v>
      </c>
      <c r="L88" t="str">
        <v>السعودية</v>
      </c>
      <c r="M88" t="str">
        <v>مسلم</v>
      </c>
      <c r="N88" t="str">
        <v>متزوج</v>
      </c>
      <c r="O88" t="str">
        <v>السعودية</v>
      </c>
      <c r="P88" t="str">
        <v>لا</v>
      </c>
      <c r="Q88" t="str">
        <v>معلم</v>
      </c>
      <c r="S88" t="str">
        <v xml:space="preserve">1 سنه 0 شهر 16 يوم </v>
      </c>
      <c r="T88" t="str">
        <v>1</v>
      </c>
      <c r="U88" t="str">
        <v>508187827</v>
      </c>
      <c r="X88" t="str">
        <v>3ZIZA.mohamad@gmail.com</v>
      </c>
      <c r="AC88" t="str">
        <v>بنك</v>
      </c>
      <c r="AD88" t="str">
        <v>SA5305000068204932383000</v>
      </c>
      <c r="AE88" t="str">
        <v>3213</v>
      </c>
      <c r="AF88" t="str">
        <v>لا</v>
      </c>
      <c r="AG88" t="str">
        <v>الرياض</v>
      </c>
      <c r="AH88" t="str">
        <v>مدارس دار القلم</v>
      </c>
    </row>
    <row r="89">
      <c r="A89">
        <v>3284</v>
      </c>
      <c r="B89" t="str">
        <v>ثانوي</v>
      </c>
      <c r="C89" t="str">
        <v>امل سلمان العنزي</v>
      </c>
      <c r="E89" t="str">
        <v>نورة محمد عاتق العتيبي</v>
      </c>
      <c r="F89">
        <v>33102</v>
      </c>
      <c r="G89" t="str">
        <v>1067909166</v>
      </c>
      <c r="H89">
        <v>45165</v>
      </c>
      <c r="I89">
        <v>45165</v>
      </c>
      <c r="J89" t="str">
        <v>سعودي تأمينات</v>
      </c>
      <c r="K89" t="str">
        <v>نعم</v>
      </c>
      <c r="L89" t="str">
        <v>السعودية</v>
      </c>
      <c r="M89" t="str">
        <v>مسلم</v>
      </c>
      <c r="N89" t="str">
        <v>متزوج</v>
      </c>
      <c r="O89" t="str">
        <v>السعودية</v>
      </c>
      <c r="P89" t="str">
        <v>لا</v>
      </c>
      <c r="Q89" t="str">
        <v>معلم</v>
      </c>
      <c r="S89" t="str">
        <v xml:space="preserve">1 سنه 0 شهر 9 يوم </v>
      </c>
      <c r="T89" t="str">
        <v>1</v>
      </c>
      <c r="U89" t="str">
        <v>533350378</v>
      </c>
      <c r="X89" t="str">
        <v>amal-salman18@hotmail.com</v>
      </c>
      <c r="AC89" t="str">
        <v>بنك</v>
      </c>
      <c r="AD89" t="str">
        <v>SA3605000068204926806000</v>
      </c>
      <c r="AE89" t="str">
        <v>3284</v>
      </c>
      <c r="AF89" t="str">
        <v>لا</v>
      </c>
      <c r="AG89" t="str">
        <v>الرياض</v>
      </c>
      <c r="AH89" t="str">
        <v>مدارس دار القلم</v>
      </c>
    </row>
    <row r="90">
      <c r="A90">
        <v>3409</v>
      </c>
      <c r="B90" t="str">
        <v>ابتدائي</v>
      </c>
      <c r="C90" t="str">
        <v xml:space="preserve">بدور نشاء البقمي </v>
      </c>
      <c r="E90" t="str">
        <v>نورة محمد عاتق العتيبي</v>
      </c>
      <c r="F90">
        <v>33942</v>
      </c>
      <c r="G90" t="str">
        <v>1085724225</v>
      </c>
      <c r="H90">
        <v>45182</v>
      </c>
      <c r="I90">
        <v>45182</v>
      </c>
      <c r="J90" t="str">
        <v>سعودي تأمينات</v>
      </c>
      <c r="K90" t="str">
        <v>نعم</v>
      </c>
      <c r="L90" t="str">
        <v>السعودية</v>
      </c>
      <c r="M90" t="str">
        <v>مسلم</v>
      </c>
      <c r="N90" t="str">
        <v>متزوج</v>
      </c>
      <c r="P90" t="str">
        <v>لا</v>
      </c>
      <c r="Q90" t="str">
        <v>معلم</v>
      </c>
      <c r="S90" t="str">
        <v xml:space="preserve">0 سنه 11 شهر 23 يوم </v>
      </c>
      <c r="T90" t="str">
        <v>1</v>
      </c>
      <c r="U90" t="str">
        <v>533260893</v>
      </c>
      <c r="X90" t="str">
        <v>Beedoo.5565@gmail.com</v>
      </c>
      <c r="AC90" t="str">
        <v>بنك</v>
      </c>
      <c r="AD90" t="str">
        <v>SA3880000620608016011470</v>
      </c>
      <c r="AE90" t="str">
        <v>3409</v>
      </c>
      <c r="AF90" t="str">
        <v>لا</v>
      </c>
      <c r="AG90" t="str">
        <v>الرياض</v>
      </c>
      <c r="AH90" t="str">
        <v>مدارس دار القلم</v>
      </c>
    </row>
    <row r="91">
      <c r="A91">
        <v>3441</v>
      </c>
      <c r="B91" t="str">
        <v>ثانوي</v>
      </c>
      <c r="C91" t="str">
        <v>محمد  علي</v>
      </c>
      <c r="E91" t="str">
        <v>معن هاني بن محمد البشر</v>
      </c>
      <c r="F91">
        <v>32930</v>
      </c>
      <c r="G91" t="str">
        <v>2555671722</v>
      </c>
      <c r="H91">
        <v>45164</v>
      </c>
      <c r="I91">
        <v>45164</v>
      </c>
      <c r="J91" t="str">
        <v>مقيم تأمينات</v>
      </c>
      <c r="K91" t="str">
        <v>نعم</v>
      </c>
      <c r="L91" t="str">
        <v>الهند</v>
      </c>
      <c r="M91" t="str">
        <v>مسلم</v>
      </c>
      <c r="N91" t="str">
        <v>أعزب</v>
      </c>
      <c r="O91" t="str">
        <v>الهند</v>
      </c>
      <c r="P91" t="str">
        <v>لا</v>
      </c>
      <c r="Q91" t="str">
        <v>عامل</v>
      </c>
      <c r="S91" t="str">
        <v xml:space="preserve">1 سنه 0 شهر 10 يوم </v>
      </c>
      <c r="T91" t="str">
        <v>1</v>
      </c>
      <c r="U91" t="str">
        <v>118</v>
      </c>
      <c r="X91" t="str">
        <v>3144143207@altanmiyah.edu.sa</v>
      </c>
      <c r="AC91" t="str">
        <v>بنك</v>
      </c>
      <c r="AD91" t="str">
        <v>SA8930400197088754630013</v>
      </c>
      <c r="AE91" t="str">
        <v>3441</v>
      </c>
      <c r="AF91" t="str">
        <v>لا</v>
      </c>
      <c r="AG91" t="str">
        <v>الرياض</v>
      </c>
      <c r="AH91" t="str">
        <v>مدارس دار القلم</v>
      </c>
    </row>
    <row r="92">
      <c r="A92">
        <v>3442</v>
      </c>
      <c r="B92" t="str">
        <v>متوسط</v>
      </c>
      <c r="C92" t="str">
        <v>فيضان  احمد</v>
      </c>
      <c r="E92" t="str">
        <v>معن هاني بن محمد البشر</v>
      </c>
      <c r="F92">
        <v>32930</v>
      </c>
      <c r="G92" t="str">
        <v>2555671813</v>
      </c>
      <c r="H92">
        <v>45164</v>
      </c>
      <c r="I92">
        <v>45164</v>
      </c>
      <c r="J92" t="str">
        <v>مقيم تأمينات</v>
      </c>
      <c r="K92" t="str">
        <v>نعم</v>
      </c>
      <c r="L92" t="str">
        <v>الهند</v>
      </c>
      <c r="M92" t="str">
        <v>مسلم</v>
      </c>
      <c r="N92" t="str">
        <v>أعزب</v>
      </c>
      <c r="O92" t="str">
        <v>الهند</v>
      </c>
      <c r="P92" t="str">
        <v>لا</v>
      </c>
      <c r="Q92" t="str">
        <v>سائق</v>
      </c>
      <c r="S92" t="str">
        <v xml:space="preserve">1 سنه 0 شهر 10 يوم </v>
      </c>
      <c r="T92" t="str">
        <v>1</v>
      </c>
      <c r="U92" t="str">
        <v>119</v>
      </c>
      <c r="X92" t="str">
        <v>3144143215@altanmiyah.edu.sa</v>
      </c>
      <c r="AC92" t="str">
        <v>بنك</v>
      </c>
      <c r="AD92" t="str">
        <v>SA8205000068204921133000</v>
      </c>
      <c r="AE92" t="str">
        <v>3442</v>
      </c>
      <c r="AF92" t="str">
        <v>لا</v>
      </c>
      <c r="AG92" t="str">
        <v>الرياض</v>
      </c>
      <c r="AH92" t="str">
        <v>مدارس دار القلم</v>
      </c>
    </row>
    <row r="93">
      <c r="A93">
        <v>3460</v>
      </c>
      <c r="B93" t="str">
        <v>ثانوي</v>
      </c>
      <c r="C93" t="str">
        <v>سليمان الصادق الخضر</v>
      </c>
      <c r="E93" t="str">
        <v>نورة محمد عاتق العتيبي</v>
      </c>
      <c r="F93">
        <v>25569</v>
      </c>
      <c r="G93" t="str">
        <v>2163488170</v>
      </c>
      <c r="H93">
        <v>45173</v>
      </c>
      <c r="I93">
        <v>45173</v>
      </c>
      <c r="J93" t="str">
        <v>مقيم تأمينات</v>
      </c>
      <c r="K93" t="str">
        <v>نعم</v>
      </c>
      <c r="L93" t="str">
        <v>السودان</v>
      </c>
      <c r="M93" t="str">
        <v>مسلم</v>
      </c>
      <c r="N93" t="str">
        <v>متزوج</v>
      </c>
      <c r="P93" t="str">
        <v>لا</v>
      </c>
      <c r="Q93" t="str">
        <v>معلم</v>
      </c>
      <c r="S93" t="str">
        <v xml:space="preserve">1 سنه 0 شهر 1 يوم </v>
      </c>
      <c r="T93" t="str">
        <v>1</v>
      </c>
      <c r="U93" t="str">
        <v>567326335</v>
      </c>
      <c r="X93" t="str">
        <v>sulimansaddig@gmail.com</v>
      </c>
      <c r="AC93" t="str">
        <v>بنك</v>
      </c>
      <c r="AD93" t="str">
        <v>SA8705000068200653421000</v>
      </c>
      <c r="AE93" t="str">
        <v>3460</v>
      </c>
      <c r="AF93" t="str">
        <v>لا</v>
      </c>
      <c r="AG93" t="str">
        <v>الرياض</v>
      </c>
      <c r="AH93" t="str">
        <v>مدارس دار القلم</v>
      </c>
    </row>
    <row r="94">
      <c r="A94">
        <v>3503</v>
      </c>
      <c r="B94" t="str">
        <v>ابتدائي</v>
      </c>
      <c r="C94" t="str">
        <v>محمد مدين عبدالصادق عبدالقادر</v>
      </c>
      <c r="E94" t="str">
        <v>نورة محمد عاتق العتيبي</v>
      </c>
      <c r="F94">
        <v>30628</v>
      </c>
      <c r="G94" t="str">
        <v>2354999100</v>
      </c>
      <c r="H94">
        <v>45209</v>
      </c>
      <c r="I94">
        <v>45209</v>
      </c>
      <c r="J94" t="str">
        <v>مقيم تأمينات</v>
      </c>
      <c r="K94" t="str">
        <v>نعم</v>
      </c>
      <c r="L94" t="str">
        <v>مصر</v>
      </c>
      <c r="M94" t="str">
        <v>مسلم</v>
      </c>
      <c r="N94" t="str">
        <v>أعزب</v>
      </c>
      <c r="P94" t="str">
        <v>لا</v>
      </c>
      <c r="Q94" t="str">
        <v>معلم</v>
      </c>
      <c r="S94" t="str">
        <v xml:space="preserve">0 سنه 10 شهر 26 يوم </v>
      </c>
      <c r="T94" t="str">
        <v>1</v>
      </c>
      <c r="U94" t="str">
        <v>568032979</v>
      </c>
      <c r="X94" t="str">
        <v>mohwinxp50@gmail.com</v>
      </c>
      <c r="AC94" t="str">
        <v>بنك</v>
      </c>
      <c r="AD94" t="str">
        <v>SA3405000068203185447001</v>
      </c>
      <c r="AE94" t="str">
        <v>3503</v>
      </c>
      <c r="AF94" t="str">
        <v>لا</v>
      </c>
      <c r="AG94" t="str">
        <v>الرياض</v>
      </c>
      <c r="AH94" t="str">
        <v>مدارس دار القلم</v>
      </c>
    </row>
    <row r="95">
      <c r="A95">
        <v>3508</v>
      </c>
      <c r="B95" t="str">
        <v>متوسط</v>
      </c>
      <c r="C95" t="str">
        <v>ماجد محمد مسعد العتيبي</v>
      </c>
      <c r="E95" t="str">
        <v>نورة محمد عاتق العتيبي</v>
      </c>
      <c r="F95">
        <v>34759</v>
      </c>
      <c r="G95" t="str">
        <v>1094151030</v>
      </c>
      <c r="H95">
        <v>45215</v>
      </c>
      <c r="I95">
        <v>45215</v>
      </c>
      <c r="J95" t="str">
        <v>سعودي تأمينات</v>
      </c>
      <c r="K95" t="str">
        <v>نعم</v>
      </c>
      <c r="L95" t="str">
        <v>السعودية</v>
      </c>
      <c r="M95" t="str">
        <v>مسلم</v>
      </c>
      <c r="N95" t="str">
        <v>أعزب</v>
      </c>
      <c r="P95" t="str">
        <v>لا</v>
      </c>
      <c r="Q95" t="str">
        <v>معلم</v>
      </c>
      <c r="S95" t="str">
        <v xml:space="preserve">0 سنه 10 شهر 20 يوم </v>
      </c>
      <c r="T95" t="str">
        <v>1</v>
      </c>
      <c r="U95" t="str">
        <v>546084587</v>
      </c>
      <c r="X95" t="str">
        <v>majed9515mh@gmail.com</v>
      </c>
      <c r="AC95" t="str">
        <v>بنك</v>
      </c>
      <c r="AD95" t="str">
        <v>SA9780000132608012020948</v>
      </c>
      <c r="AE95" t="str">
        <v>3508</v>
      </c>
      <c r="AF95" t="str">
        <v>لا</v>
      </c>
      <c r="AG95" t="str">
        <v>الرياض</v>
      </c>
      <c r="AH95" t="str">
        <v>مدارس دار القلم</v>
      </c>
    </row>
    <row r="96">
      <c r="A96">
        <v>3577</v>
      </c>
      <c r="B96" t="str">
        <v>ثانوي</v>
      </c>
      <c r="C96" t="str">
        <v>عبدالعزيز صالح محمد الربيعان</v>
      </c>
      <c r="E96" t="str">
        <v>نورة محمد عاتق العتيبي</v>
      </c>
      <c r="F96">
        <v>35730</v>
      </c>
      <c r="G96" t="str">
        <v>1100905122</v>
      </c>
      <c r="H96">
        <v>45257</v>
      </c>
      <c r="I96">
        <v>45257</v>
      </c>
      <c r="J96" t="str">
        <v>سعودي تأمينات</v>
      </c>
      <c r="K96" t="str">
        <v>نعم</v>
      </c>
      <c r="L96" t="str">
        <v>السعودية</v>
      </c>
      <c r="M96" t="str">
        <v>مسلم</v>
      </c>
      <c r="N96" t="str">
        <v>أعزب</v>
      </c>
      <c r="P96" t="str">
        <v>لا</v>
      </c>
      <c r="Q96" t="str">
        <v>معلم</v>
      </c>
      <c r="S96" t="str">
        <v xml:space="preserve">0 سنه 9 شهر 9 يوم </v>
      </c>
      <c r="T96" t="str">
        <v>1</v>
      </c>
      <c r="U96" t="str">
        <v>554808786</v>
      </c>
      <c r="X96" t="str">
        <v>azizalsale@gmail.com</v>
      </c>
      <c r="AC96" t="str">
        <v>بنك</v>
      </c>
      <c r="AD96" t="str">
        <v>SA9880000521608010217941</v>
      </c>
      <c r="AE96" t="str">
        <v>3577</v>
      </c>
      <c r="AF96" t="str">
        <v>لا</v>
      </c>
      <c r="AG96" t="str">
        <v>الرياض</v>
      </c>
      <c r="AH96" t="str">
        <v>مدارس دار القلم</v>
      </c>
    </row>
    <row r="97">
      <c r="A97">
        <v>3625</v>
      </c>
      <c r="B97" t="str">
        <v>ابتدائي</v>
      </c>
      <c r="C97" t="str">
        <v>مبارك صالح مبارك ال عمار الدوسري</v>
      </c>
      <c r="E97" t="str">
        <v>نورة محمد عاتق العتيبي</v>
      </c>
      <c r="F97">
        <v>35323</v>
      </c>
      <c r="G97" t="str">
        <v>1093674008</v>
      </c>
      <c r="H97">
        <v>45306</v>
      </c>
      <c r="I97">
        <v>45306</v>
      </c>
      <c r="J97" t="str">
        <v>سعودي تأمينات</v>
      </c>
      <c r="K97" t="str">
        <v>نعم</v>
      </c>
      <c r="L97" t="str">
        <v>السعودية</v>
      </c>
      <c r="M97" t="str">
        <v>مسلم</v>
      </c>
      <c r="N97" t="str">
        <v>أعزب</v>
      </c>
      <c r="P97" t="str">
        <v>لا</v>
      </c>
      <c r="Q97" t="str">
        <v>معلم</v>
      </c>
      <c r="S97" t="str">
        <v xml:space="preserve">0 سنه 7 شهر 21 يوم </v>
      </c>
      <c r="T97" t="str">
        <v>0</v>
      </c>
      <c r="U97" t="str">
        <v>597713034</v>
      </c>
      <c r="X97" t="str">
        <v>aldosarim761@gmail.com</v>
      </c>
      <c r="AC97" t="str">
        <v>بنك</v>
      </c>
      <c r="AD97" t="str">
        <v>SA1280000165608015552210</v>
      </c>
      <c r="AE97" t="str">
        <v>3625</v>
      </c>
      <c r="AF97" t="str">
        <v>لا</v>
      </c>
      <c r="AG97" t="str">
        <v>الرياض</v>
      </c>
      <c r="AH97" t="str">
        <v>مدارس دار القلم</v>
      </c>
    </row>
    <row r="98">
      <c r="A98">
        <v>3640</v>
      </c>
      <c r="B98" t="str">
        <v>متوسط</v>
      </c>
      <c r="C98" t="str">
        <v>محمد محسن احمد العزب</v>
      </c>
      <c r="E98" t="str">
        <v>نورة محمد عاتق العتيبي</v>
      </c>
      <c r="F98">
        <v>30682</v>
      </c>
      <c r="G98" t="str">
        <v>2330390598</v>
      </c>
      <c r="H98">
        <v>45505</v>
      </c>
      <c r="I98">
        <v>45313</v>
      </c>
      <c r="J98" t="str">
        <v>مقيم أجير</v>
      </c>
      <c r="K98" t="str">
        <v>نعم</v>
      </c>
      <c r="L98" t="str">
        <v>اليمن</v>
      </c>
      <c r="M98" t="str">
        <v>مسلم</v>
      </c>
      <c r="N98" t="str">
        <v>متزوج</v>
      </c>
      <c r="P98" t="str">
        <v>لا</v>
      </c>
      <c r="Q98" t="str">
        <v>موجه طلابي</v>
      </c>
      <c r="S98" t="str">
        <v xml:space="preserve">0 سنه 7 شهر 14 يوم </v>
      </c>
      <c r="T98" t="str">
        <v>0</v>
      </c>
      <c r="U98" t="str">
        <v>551649814</v>
      </c>
      <c r="X98" t="str">
        <v>alazab754@gmail.com</v>
      </c>
      <c r="AC98" t="str">
        <v>بنك</v>
      </c>
      <c r="AD98" t="str">
        <v>SA0780000470608010345222</v>
      </c>
      <c r="AE98" t="str">
        <v>3640</v>
      </c>
      <c r="AF98" t="str">
        <v>لا</v>
      </c>
      <c r="AG98" t="str">
        <v>الرياض</v>
      </c>
      <c r="AH98" t="str">
        <v>مدارس دار القلم</v>
      </c>
    </row>
    <row r="99">
      <c r="A99">
        <v>3738</v>
      </c>
      <c r="B99" t="str">
        <v>ابتدائي</v>
      </c>
      <c r="C99" t="str">
        <v>هبة عبد الفتاح محمد عبد الهادي</v>
      </c>
      <c r="D99" t="str">
        <v>تركت العمل</v>
      </c>
      <c r="E99" t="str">
        <v>نورة محمد عاتق العتيبي</v>
      </c>
      <c r="F99">
        <v>28623</v>
      </c>
      <c r="G99" t="str">
        <v>2552495786</v>
      </c>
      <c r="H99">
        <v>45466</v>
      </c>
      <c r="I99">
        <v>45166</v>
      </c>
      <c r="J99" t="str">
        <v>مقيم بدون تأمينات</v>
      </c>
      <c r="K99" t="str">
        <v>نعم</v>
      </c>
      <c r="L99" t="str">
        <v>مصر</v>
      </c>
      <c r="M99" t="str">
        <v>مسلم</v>
      </c>
      <c r="N99" t="str">
        <v>متزوج</v>
      </c>
      <c r="O99" t="str">
        <v>مصر</v>
      </c>
      <c r="P99" t="str">
        <v>لا</v>
      </c>
      <c r="Q99" t="str">
        <v>مدير مرحلة</v>
      </c>
      <c r="S99" t="str">
        <v xml:space="preserve">1 سنه 0 شهر 8 يوم </v>
      </c>
      <c r="T99" t="str">
        <v>1</v>
      </c>
      <c r="U99" t="str">
        <v>548380647</v>
      </c>
      <c r="X99" t="str">
        <v>Hebaosamasamir@gmail.com</v>
      </c>
      <c r="AC99" t="str">
        <v>بنك</v>
      </c>
      <c r="AD99" t="str">
        <v>SA2215000900140794000001</v>
      </c>
      <c r="AE99" t="str">
        <v>3738</v>
      </c>
      <c r="AF99" t="str">
        <v>لا</v>
      </c>
      <c r="AG99" t="str">
        <v>الرياض</v>
      </c>
      <c r="AH99" t="str">
        <v>مدارس دار القلم</v>
      </c>
    </row>
    <row r="100">
      <c r="A100">
        <v>3740</v>
      </c>
      <c r="B100" t="str">
        <v>ابتدائي</v>
      </c>
      <c r="C100" t="str">
        <v>نورا حمادة محمد حامد</v>
      </c>
      <c r="E100" t="str">
        <v>نورة محمد عاتق العتيبي</v>
      </c>
      <c r="F100">
        <v>34353</v>
      </c>
      <c r="G100" t="str">
        <v>2542860271</v>
      </c>
      <c r="H100">
        <v>45518</v>
      </c>
      <c r="I100">
        <v>45142</v>
      </c>
      <c r="J100" t="str">
        <v>مقيم بدون تأمينات</v>
      </c>
      <c r="K100" t="str">
        <v>نعم</v>
      </c>
      <c r="L100" t="str">
        <v>مصر</v>
      </c>
      <c r="M100" t="str">
        <v>مسلم</v>
      </c>
      <c r="N100" t="str">
        <v>متزوج</v>
      </c>
      <c r="O100" t="str">
        <v>مصر</v>
      </c>
      <c r="P100" t="str">
        <v>لا</v>
      </c>
      <c r="Q100" t="str">
        <v>معلم</v>
      </c>
      <c r="S100" t="str">
        <v xml:space="preserve">1 سنه 1 شهر 1 يوم </v>
      </c>
      <c r="T100" t="str">
        <v>1</v>
      </c>
      <c r="U100" t="str">
        <v>597384432</v>
      </c>
      <c r="X100" t="str">
        <v>mahmodnoor656@gmail.com</v>
      </c>
      <c r="AC100" t="str">
        <v>نقدى</v>
      </c>
      <c r="AE100" t="str">
        <v>3740</v>
      </c>
      <c r="AF100" t="str">
        <v>لا</v>
      </c>
      <c r="AG100" t="str">
        <v>الرياض</v>
      </c>
      <c r="AH100" t="str">
        <v>مدارس دار القلم</v>
      </c>
    </row>
    <row r="101">
      <c r="A101">
        <v>3745</v>
      </c>
      <c r="B101" t="str">
        <v>ابتدائي</v>
      </c>
      <c r="C101" t="str">
        <v>ماهي جابر احمد منصور</v>
      </c>
      <c r="E101" t="str">
        <v>نورة محمد عاتق العتيبي</v>
      </c>
      <c r="F101">
        <v>31804</v>
      </c>
      <c r="G101" t="str">
        <v>2243227226</v>
      </c>
      <c r="H101">
        <v>45466</v>
      </c>
      <c r="I101">
        <v>45200</v>
      </c>
      <c r="J101" t="str">
        <v>مقيم بدون تأمينات</v>
      </c>
      <c r="K101" t="str">
        <v>نعم</v>
      </c>
      <c r="L101" t="str">
        <v>مصر</v>
      </c>
      <c r="M101" t="str">
        <v>مسلم</v>
      </c>
      <c r="N101" t="str">
        <v>متزوج</v>
      </c>
      <c r="O101" t="str">
        <v>مصر</v>
      </c>
      <c r="P101" t="str">
        <v>لا</v>
      </c>
      <c r="Q101" t="str">
        <v>مساعد إداري</v>
      </c>
      <c r="S101" t="str">
        <v xml:space="preserve">0 سنه 11 شهر 4 يوم </v>
      </c>
      <c r="T101" t="str">
        <v>1</v>
      </c>
      <c r="U101" t="str">
        <v>542922347</v>
      </c>
      <c r="X101" t="str">
        <v>mahy87ahmed@gmail.com</v>
      </c>
      <c r="AC101" t="str">
        <v>بنك</v>
      </c>
      <c r="AD101" t="str">
        <v>SA8905000068203520798000</v>
      </c>
      <c r="AE101" t="str">
        <v>3745</v>
      </c>
      <c r="AF101" t="str">
        <v>لا</v>
      </c>
      <c r="AG101" t="str">
        <v>الرياض</v>
      </c>
      <c r="AH101" t="str">
        <v>مدارس دار القلم</v>
      </c>
    </row>
    <row r="102">
      <c r="A102">
        <v>3842</v>
      </c>
      <c r="B102" t="str">
        <v>متوسط</v>
      </c>
      <c r="C102" t="str">
        <v>وليد محمد صالح محمود الصده</v>
      </c>
      <c r="E102" t="str">
        <v>نورة محمد عاتق العتيبي</v>
      </c>
      <c r="F102">
        <v>30941</v>
      </c>
      <c r="G102" t="str">
        <v>3182378202</v>
      </c>
      <c r="H102">
        <v>45508</v>
      </c>
      <c r="I102">
        <v>45508</v>
      </c>
      <c r="J102" t="str">
        <v>مقيم تأمينات</v>
      </c>
      <c r="K102" t="str">
        <v>نعم</v>
      </c>
      <c r="L102" t="str">
        <v>مصر</v>
      </c>
      <c r="M102" t="str">
        <v>مسلم</v>
      </c>
      <c r="N102" t="str">
        <v>متزوج</v>
      </c>
      <c r="O102" t="str">
        <v>مصر</v>
      </c>
      <c r="P102" t="str">
        <v>لا</v>
      </c>
      <c r="Q102" t="str">
        <v>معلم</v>
      </c>
      <c r="S102" t="str">
        <v xml:space="preserve">0 سنه 1 شهر 1 يوم </v>
      </c>
      <c r="T102" t="str">
        <v>0</v>
      </c>
      <c r="W102" t="str">
        <v>21069562299</v>
      </c>
      <c r="X102" t="str">
        <v>memoleodows@gmail.com</v>
      </c>
      <c r="AC102" t="str">
        <v>نقدى</v>
      </c>
      <c r="AE102" t="str">
        <v>3842</v>
      </c>
      <c r="AF102" t="str">
        <v>لا</v>
      </c>
      <c r="AG102" t="str">
        <v>الرياض</v>
      </c>
      <c r="AH102" t="str">
        <v>مدارس دار القلم</v>
      </c>
    </row>
    <row r="103">
      <c r="A103">
        <v>3843</v>
      </c>
      <c r="B103" t="str">
        <v>ثانوي</v>
      </c>
      <c r="C103" t="str">
        <v>محمود جمعه مصرى عبدالعزيز</v>
      </c>
      <c r="E103" t="str">
        <v>نورة محمد عاتق العتيبي</v>
      </c>
      <c r="F103">
        <v>37399</v>
      </c>
      <c r="G103" t="str">
        <v>3183301732</v>
      </c>
      <c r="H103">
        <v>45508</v>
      </c>
      <c r="I103">
        <v>45508</v>
      </c>
      <c r="J103" t="str">
        <v>مقيم تأمينات</v>
      </c>
      <c r="K103" t="str">
        <v>نعم</v>
      </c>
      <c r="L103" t="str">
        <v>مصر</v>
      </c>
      <c r="M103" t="str">
        <v>مسلم</v>
      </c>
      <c r="N103" t="str">
        <v>أعزب</v>
      </c>
      <c r="O103" t="str">
        <v>مصر</v>
      </c>
      <c r="P103" t="str">
        <v>لا</v>
      </c>
      <c r="Q103" t="str">
        <v>معلم</v>
      </c>
      <c r="S103" t="str">
        <v xml:space="preserve">0 سنه 1 شهر 1 يوم </v>
      </c>
      <c r="T103" t="str">
        <v>0</v>
      </c>
      <c r="W103" t="str">
        <v>20111545823</v>
      </c>
      <c r="X103" t="str">
        <v>mahmoudmasry165@gmail.com</v>
      </c>
      <c r="AC103" t="str">
        <v>نقدى</v>
      </c>
      <c r="AE103" t="str">
        <v>3843</v>
      </c>
      <c r="AF103" t="str">
        <v>لا</v>
      </c>
      <c r="AG103" t="str">
        <v>الرياض</v>
      </c>
      <c r="AH103" t="str">
        <v>مدارس دار القلم</v>
      </c>
    </row>
    <row r="104">
      <c r="A104">
        <v>3844</v>
      </c>
      <c r="B104" t="str">
        <v>متوسط</v>
      </c>
      <c r="C104" t="str">
        <v>عمرو محمد عبدالمقصود غراب</v>
      </c>
      <c r="E104" t="str">
        <v>نورة محمد عاتق العتيبي</v>
      </c>
      <c r="F104">
        <v>31859</v>
      </c>
      <c r="G104" t="str">
        <v>3182378301</v>
      </c>
      <c r="H104">
        <v>45508</v>
      </c>
      <c r="I104">
        <v>45508</v>
      </c>
      <c r="J104" t="str">
        <v>مقيم تأمينات</v>
      </c>
      <c r="K104" t="str">
        <v>نعم</v>
      </c>
      <c r="L104" t="str">
        <v>مصر</v>
      </c>
      <c r="M104" t="str">
        <v>غير مسلم</v>
      </c>
      <c r="N104" t="str">
        <v>متزوج</v>
      </c>
      <c r="O104" t="str">
        <v>مصر</v>
      </c>
      <c r="P104" t="str">
        <v>لا</v>
      </c>
      <c r="Q104" t="str">
        <v>معلم</v>
      </c>
      <c r="S104" t="str">
        <v xml:space="preserve">0 سنه 1 شهر 1 يوم </v>
      </c>
      <c r="T104" t="str">
        <v>0</v>
      </c>
      <c r="X104" t="str">
        <v>amro.mohammed@yahoo.com</v>
      </c>
      <c r="AC104" t="str">
        <v>نقدى</v>
      </c>
      <c r="AE104" t="str">
        <v>3844</v>
      </c>
      <c r="AF104" t="str">
        <v>لا</v>
      </c>
      <c r="AG104" t="str">
        <v>الرياض</v>
      </c>
      <c r="AH104" t="str">
        <v>مدارس دار القلم</v>
      </c>
    </row>
    <row r="105">
      <c r="A105">
        <v>3846</v>
      </c>
      <c r="B105" t="str">
        <v>ثانوي</v>
      </c>
      <c r="C105" t="str">
        <v>محمد مدحت حلمى حسن</v>
      </c>
      <c r="E105" t="str">
        <v>نورة محمد عاتق العتيبي</v>
      </c>
      <c r="F105">
        <v>35521</v>
      </c>
      <c r="G105" t="str">
        <v>3183301807</v>
      </c>
      <c r="H105">
        <v>45508</v>
      </c>
      <c r="I105">
        <v>45508</v>
      </c>
      <c r="J105" t="str">
        <v>مقيم تأمينات</v>
      </c>
      <c r="K105" t="str">
        <v>نعم</v>
      </c>
      <c r="L105" t="str">
        <v>مصر</v>
      </c>
      <c r="M105" t="str">
        <v>مسلم</v>
      </c>
      <c r="N105" t="str">
        <v>أعزب</v>
      </c>
      <c r="O105" t="str">
        <v>مصر</v>
      </c>
      <c r="P105" t="str">
        <v>لا</v>
      </c>
      <c r="Q105" t="str">
        <v>معلم</v>
      </c>
      <c r="S105" t="str">
        <v xml:space="preserve">0 سنه 1 شهر 1 يوم </v>
      </c>
      <c r="T105" t="str">
        <v>0</v>
      </c>
      <c r="X105" t="str">
        <v>momedhat1245@gmail.com</v>
      </c>
      <c r="AC105" t="str">
        <v>نقدى</v>
      </c>
      <c r="AE105" t="str">
        <v>3846</v>
      </c>
      <c r="AF105" t="str">
        <v>لا</v>
      </c>
      <c r="AG105" t="str">
        <v>الرياض</v>
      </c>
      <c r="AH105" t="str">
        <v>مدارس دار القلم</v>
      </c>
    </row>
    <row r="106">
      <c r="A106">
        <v>3847</v>
      </c>
      <c r="B106" t="str">
        <v>ثانوي</v>
      </c>
      <c r="C106" t="str">
        <v>امانى فهمى جمال محمد لاشين</v>
      </c>
      <c r="E106" t="str">
        <v>نورة محمد عاتق العتيبي</v>
      </c>
      <c r="F106">
        <v>33141</v>
      </c>
      <c r="G106" t="str">
        <v>3182377907</v>
      </c>
      <c r="H106">
        <v>45508</v>
      </c>
      <c r="I106">
        <v>45508</v>
      </c>
      <c r="J106" t="str">
        <v>مقيم تأمينات</v>
      </c>
      <c r="K106" t="str">
        <v>نعم</v>
      </c>
      <c r="L106" t="str">
        <v>مصر</v>
      </c>
      <c r="M106" t="str">
        <v>مسلم</v>
      </c>
      <c r="N106" t="str">
        <v>متزوج</v>
      </c>
      <c r="O106" t="str">
        <v>مصر</v>
      </c>
      <c r="P106" t="str">
        <v>لا</v>
      </c>
      <c r="Q106" t="str">
        <v>معلم</v>
      </c>
      <c r="S106" t="str">
        <v xml:space="preserve">0 سنه 1 شهر 1 يوم </v>
      </c>
      <c r="T106" t="str">
        <v>0</v>
      </c>
      <c r="X106" t="str">
        <v>amany_lashin@gmail.com</v>
      </c>
      <c r="AC106" t="str">
        <v>نقدى</v>
      </c>
      <c r="AE106" t="str">
        <v>3847</v>
      </c>
      <c r="AF106" t="str">
        <v>لا</v>
      </c>
      <c r="AG106" t="str">
        <v>الرياض</v>
      </c>
      <c r="AH106" t="str">
        <v>مدارس دار القلم</v>
      </c>
    </row>
    <row r="107">
      <c r="A107">
        <v>3890</v>
      </c>
      <c r="B107" t="str">
        <v>متوسط</v>
      </c>
      <c r="C107" t="str">
        <v>مصطفى محمد عبد الغنى ادودار</v>
      </c>
      <c r="E107" t="str">
        <v>نورة محمد عاتق العتيبي</v>
      </c>
      <c r="F107">
        <v>34243</v>
      </c>
      <c r="G107" t="str">
        <v>3188374197</v>
      </c>
      <c r="H107">
        <v>45510</v>
      </c>
      <c r="I107">
        <v>45508</v>
      </c>
      <c r="J107" t="str">
        <v>مقيم تأمينات</v>
      </c>
      <c r="K107" t="str">
        <v>نعم</v>
      </c>
      <c r="L107" t="str">
        <v>مصر</v>
      </c>
      <c r="M107" t="str">
        <v>مسلم</v>
      </c>
      <c r="N107" t="str">
        <v>متزوج</v>
      </c>
      <c r="O107" t="str">
        <v>مصر</v>
      </c>
      <c r="P107" t="str">
        <v>لا</v>
      </c>
      <c r="Q107" t="str">
        <v>معلم</v>
      </c>
      <c r="S107" t="str">
        <v xml:space="preserve">0 سنه 1 شهر 1 يوم </v>
      </c>
      <c r="T107" t="str">
        <v>0</v>
      </c>
      <c r="U107" t="str">
        <v>1116519080</v>
      </c>
      <c r="X107" t="str">
        <v>abdelghany999@gmail.com</v>
      </c>
      <c r="AC107" t="str">
        <v>نقدى</v>
      </c>
      <c r="AE107" t="str">
        <v>3890</v>
      </c>
      <c r="AF107" t="str">
        <v>لا</v>
      </c>
      <c r="AG107" t="str">
        <v>الرياض</v>
      </c>
      <c r="AH107" t="str">
        <v>مدارس دار القلم</v>
      </c>
    </row>
    <row r="108">
      <c r="A108">
        <v>3939</v>
      </c>
      <c r="B108" t="str">
        <v>ابتدائي</v>
      </c>
      <c r="C108" t="str">
        <v>ايمن محمد على مصباح عطوه</v>
      </c>
      <c r="E108" t="str">
        <v>نورة محمد عاتق العتيبي</v>
      </c>
      <c r="F108">
        <v>36356</v>
      </c>
      <c r="G108" t="str">
        <v>3188367209</v>
      </c>
      <c r="H108">
        <v>45517</v>
      </c>
      <c r="I108">
        <v>45508</v>
      </c>
      <c r="J108" t="str">
        <v>مقيم تأمينات</v>
      </c>
      <c r="K108" t="str">
        <v>نعم</v>
      </c>
      <c r="L108" t="str">
        <v>مصر</v>
      </c>
      <c r="M108" t="str">
        <v>مسلم</v>
      </c>
      <c r="N108" t="str">
        <v>متزوج</v>
      </c>
      <c r="O108" t="str">
        <v>مصر</v>
      </c>
      <c r="P108" t="str">
        <v>لا</v>
      </c>
      <c r="Q108" t="str">
        <v>معلم</v>
      </c>
      <c r="S108" t="str">
        <v xml:space="preserve">0 سنه 1 شهر 1 يوم </v>
      </c>
      <c r="T108" t="str">
        <v>0</v>
      </c>
      <c r="U108" t="str">
        <v>542588417</v>
      </c>
      <c r="X108" t="str">
        <v>mraymanmohamed15@gmail.com</v>
      </c>
      <c r="AC108" t="str">
        <v>نقدى</v>
      </c>
      <c r="AE108" t="str">
        <v>3939</v>
      </c>
      <c r="AF108" t="str">
        <v>لا</v>
      </c>
      <c r="AG108" t="str">
        <v>الرياض</v>
      </c>
      <c r="AH108" t="str">
        <v>مدارس دار القلم</v>
      </c>
    </row>
    <row r="109">
      <c r="A109">
        <v>3948</v>
      </c>
      <c r="B109" t="str">
        <v>ابتدائي</v>
      </c>
      <c r="C109" t="str">
        <v>محمد عبدالسميع احمد محمد</v>
      </c>
      <c r="E109" t="str">
        <v>نورة محمد عاتق العتيبي</v>
      </c>
      <c r="F109">
        <v>27693</v>
      </c>
      <c r="G109" t="str">
        <v>2312567122</v>
      </c>
      <c r="H109">
        <v>45508</v>
      </c>
      <c r="I109">
        <v>45508</v>
      </c>
      <c r="J109" t="str">
        <v>مقيم بدون تأمينات</v>
      </c>
      <c r="K109" t="str">
        <v>نعم</v>
      </c>
      <c r="L109" t="str">
        <v>مصر</v>
      </c>
      <c r="M109" t="str">
        <v>مسلم</v>
      </c>
      <c r="N109" t="str">
        <v>متزوج</v>
      </c>
      <c r="O109" t="str">
        <v>مصر</v>
      </c>
      <c r="P109" t="str">
        <v>لا</v>
      </c>
      <c r="Q109" t="str">
        <v>وكيل</v>
      </c>
      <c r="S109" t="str">
        <v xml:space="preserve">0 سنه 1 شهر 1 يوم </v>
      </c>
      <c r="T109" t="str">
        <v>0</v>
      </c>
      <c r="U109" t="str">
        <v>580988443</v>
      </c>
      <c r="X109" t="str">
        <v>ma9171146@gmail.com</v>
      </c>
      <c r="AC109" t="str">
        <v>بنك</v>
      </c>
      <c r="AD109" t="str">
        <v>SA7305000068200260699001</v>
      </c>
      <c r="AE109" t="str">
        <v>3948</v>
      </c>
      <c r="AF109" t="str">
        <v>لا</v>
      </c>
      <c r="AG109" t="str">
        <v>الرياض</v>
      </c>
      <c r="AH109" t="str">
        <v>مدارس دار القلم</v>
      </c>
    </row>
    <row r="110">
      <c r="A110">
        <v>3958</v>
      </c>
      <c r="B110" t="str">
        <v>متوسط</v>
      </c>
      <c r="C110" t="str">
        <v>احمد محمد الصوفى سعد</v>
      </c>
      <c r="E110" t="str">
        <v>نورة محمد عاتق العتيبي</v>
      </c>
      <c r="F110">
        <v>32630</v>
      </c>
      <c r="G110" t="str">
        <v>3188367407</v>
      </c>
      <c r="H110">
        <v>45522</v>
      </c>
      <c r="I110">
        <v>45508</v>
      </c>
      <c r="J110" t="str">
        <v>مقيم تأمينات</v>
      </c>
      <c r="K110" t="str">
        <v>نعم</v>
      </c>
      <c r="L110" t="str">
        <v>مصر</v>
      </c>
      <c r="M110" t="str">
        <v>غير مسلم</v>
      </c>
      <c r="N110" t="str">
        <v>متزوج</v>
      </c>
      <c r="O110" t="str">
        <v>مصر</v>
      </c>
      <c r="P110" t="str">
        <v>لا</v>
      </c>
      <c r="Q110" t="str">
        <v>معلم</v>
      </c>
      <c r="S110" t="str">
        <v xml:space="preserve">0 سنه 1 شهر 1 يوم </v>
      </c>
      <c r="T110" t="str">
        <v>0</v>
      </c>
      <c r="U110" t="str">
        <v>500520431</v>
      </c>
      <c r="X110" t="str">
        <v>ahmedsofi244@gmail.com</v>
      </c>
      <c r="AC110" t="str">
        <v>نقدى</v>
      </c>
      <c r="AE110" t="str">
        <v>3958</v>
      </c>
      <c r="AF110" t="str">
        <v>لا</v>
      </c>
      <c r="AG110" t="str">
        <v>الرياض</v>
      </c>
      <c r="AH110" t="str">
        <v>مدارس دار القلم</v>
      </c>
    </row>
    <row r="111">
      <c r="A111">
        <v>3978</v>
      </c>
      <c r="B111" t="str">
        <v>ثانوي</v>
      </c>
      <c r="C111" t="str">
        <v>منيره عبدالله مناحي البقمي</v>
      </c>
      <c r="E111" t="str">
        <v>نورة محمد عاتق العتيبي</v>
      </c>
      <c r="F111">
        <v>36580</v>
      </c>
      <c r="G111" t="str">
        <v>1106611849</v>
      </c>
      <c r="H111">
        <v>45518</v>
      </c>
      <c r="I111">
        <v>45518</v>
      </c>
      <c r="J111" t="str">
        <v>سعودي تأمينات</v>
      </c>
      <c r="K111" t="str">
        <v>نعم</v>
      </c>
      <c r="L111" t="str">
        <v>السعودية</v>
      </c>
      <c r="M111" t="str">
        <v>مسلم</v>
      </c>
      <c r="N111" t="str">
        <v>متزوج</v>
      </c>
      <c r="O111" t="str">
        <v>السعودية</v>
      </c>
      <c r="P111" t="str">
        <v>لا</v>
      </c>
      <c r="Q111" t="str">
        <v>معلم</v>
      </c>
      <c r="S111" t="str">
        <v xml:space="preserve">0 سنه 0 شهر 22 يوم </v>
      </c>
      <c r="T111" t="str">
        <v>0</v>
      </c>
      <c r="U111" t="str">
        <v>564576775</v>
      </c>
      <c r="X111" t="str">
        <v>munirah1q1@gmail.com</v>
      </c>
      <c r="AC111" t="str">
        <v>بنك</v>
      </c>
      <c r="AD111" t="str">
        <v>SA5480000264608016114051</v>
      </c>
      <c r="AE111" t="str">
        <v>3978</v>
      </c>
      <c r="AF111" t="str">
        <v>لا</v>
      </c>
      <c r="AG111" t="str">
        <v>الرياض</v>
      </c>
      <c r="AH111" t="str">
        <v>مدارس دار القلم</v>
      </c>
    </row>
    <row r="112">
      <c r="A112">
        <v>3979</v>
      </c>
      <c r="B112" t="str">
        <v>ابتدائي</v>
      </c>
      <c r="C112" t="str">
        <v>هدى عواض ظافر البكري</v>
      </c>
      <c r="E112" t="str">
        <v>نورة محمد عاتق العتيبي</v>
      </c>
      <c r="F112">
        <v>34732</v>
      </c>
      <c r="G112" t="str">
        <v>1090590280</v>
      </c>
      <c r="H112">
        <v>45515</v>
      </c>
      <c r="I112">
        <v>45515</v>
      </c>
      <c r="J112" t="str">
        <v>سعودي تأمينات</v>
      </c>
      <c r="K112" t="str">
        <v>نعم</v>
      </c>
      <c r="L112" t="str">
        <v>السعودية</v>
      </c>
      <c r="M112" t="str">
        <v>مسلم</v>
      </c>
      <c r="N112" t="str">
        <v>أعزب</v>
      </c>
      <c r="O112" t="str">
        <v>السعودية</v>
      </c>
      <c r="P112" t="str">
        <v>لا</v>
      </c>
      <c r="Q112" t="str">
        <v>معلم</v>
      </c>
      <c r="S112" t="str">
        <v xml:space="preserve">0 سنه 0 شهر 25 يوم </v>
      </c>
      <c r="T112" t="str">
        <v>0</v>
      </c>
      <c r="U112" t="str">
        <v>507557516</v>
      </c>
      <c r="X112" t="str">
        <v>Huda0albakri@gmail.com</v>
      </c>
      <c r="AC112" t="str">
        <v>بنك</v>
      </c>
      <c r="AD112" t="str">
        <v>SA3180000696608010800448</v>
      </c>
      <c r="AE112" t="str">
        <v>3979</v>
      </c>
      <c r="AF112" t="str">
        <v>لا</v>
      </c>
      <c r="AG112" t="str">
        <v>الرياض</v>
      </c>
      <c r="AH112" t="str">
        <v>مدارس دار القلم</v>
      </c>
    </row>
    <row r="113">
      <c r="A113">
        <v>3981</v>
      </c>
      <c r="B113" t="str">
        <v>ثانوي</v>
      </c>
      <c r="C113" t="str">
        <v>ابتسام احمد محمد القحطاني</v>
      </c>
      <c r="E113" t="str">
        <v>نورة محمد عاتق العتيبي</v>
      </c>
      <c r="F113">
        <v>36631</v>
      </c>
      <c r="G113" t="str">
        <v>1116249226</v>
      </c>
      <c r="H113">
        <v>45515</v>
      </c>
      <c r="I113">
        <v>45515</v>
      </c>
      <c r="J113" t="str">
        <v>سعودي تأمينات</v>
      </c>
      <c r="K113" t="str">
        <v>نعم</v>
      </c>
      <c r="L113" t="str">
        <v>السعودية</v>
      </c>
      <c r="M113" t="str">
        <v>مسلم</v>
      </c>
      <c r="N113" t="str">
        <v>أعزب</v>
      </c>
      <c r="O113" t="str">
        <v>السعودية</v>
      </c>
      <c r="P113" t="str">
        <v>لا</v>
      </c>
      <c r="Q113" t="str">
        <v>معلم</v>
      </c>
      <c r="S113" t="str">
        <v xml:space="preserve">0 سنه 0 شهر 25 يوم </v>
      </c>
      <c r="T113" t="str">
        <v>0</v>
      </c>
      <c r="U113" t="str">
        <v>504383433</v>
      </c>
      <c r="X113" t="str">
        <v>ibt.3003@gmail.com</v>
      </c>
      <c r="AC113" t="str">
        <v>بنك</v>
      </c>
      <c r="AD113" t="str">
        <v>SA9580000395608016003652</v>
      </c>
      <c r="AE113" t="str">
        <v>3981</v>
      </c>
      <c r="AF113" t="str">
        <v>لا</v>
      </c>
      <c r="AG113" t="str">
        <v>الرياض</v>
      </c>
      <c r="AH113" t="str">
        <v>مدارس دار القلم</v>
      </c>
    </row>
    <row r="114">
      <c r="A114">
        <v>4058</v>
      </c>
      <c r="B114" t="str">
        <v>متوسط</v>
      </c>
      <c r="C114" t="str">
        <v>مروة عادل عبدالباقي سيد احمد</v>
      </c>
      <c r="D114" t="str">
        <v>المسار المصري رحاب المعرفة</v>
      </c>
      <c r="F114">
        <v>32174</v>
      </c>
      <c r="G114" t="str">
        <v>3141629273</v>
      </c>
      <c r="H114">
        <v>45508</v>
      </c>
      <c r="I114">
        <v>45508</v>
      </c>
      <c r="J114" t="str">
        <v>مقيم تأمينات</v>
      </c>
      <c r="K114" t="str">
        <v>نعم</v>
      </c>
      <c r="L114" t="str">
        <v>مصر</v>
      </c>
      <c r="M114" t="str">
        <v>مسلم</v>
      </c>
      <c r="N114" t="str">
        <v>متزوج</v>
      </c>
      <c r="O114" t="str">
        <v>مصر</v>
      </c>
      <c r="P114" t="str">
        <v>لا</v>
      </c>
      <c r="Q114" t="str">
        <v>معلم</v>
      </c>
      <c r="S114" t="str">
        <v xml:space="preserve">0 سنه 1 شهر 1 يوم </v>
      </c>
      <c r="T114" t="str">
        <v>0</v>
      </c>
      <c r="X114" t="str">
        <v>mohammedradwan787@gmail.com</v>
      </c>
      <c r="AC114" t="str">
        <v>نقدى</v>
      </c>
      <c r="AE114" t="str">
        <v>4058</v>
      </c>
      <c r="AF114" t="str">
        <v>لا</v>
      </c>
      <c r="AG114" t="str">
        <v>الرياض</v>
      </c>
      <c r="AH114" t="str">
        <v>مدارس دار القلم</v>
      </c>
    </row>
    <row r="115">
      <c r="A115">
        <v>3077</v>
      </c>
      <c r="C115" t="str">
        <v>ايمان احمد عبدالمجيد عبدالفتاح</v>
      </c>
      <c r="D115" t="str">
        <v>منقولة من المدينة الاكاديمية</v>
      </c>
    </row>
    <row r="116">
      <c r="A116">
        <v>4105</v>
      </c>
      <c r="C116" t="str">
        <v>هدى محمد احمد المناعي</v>
      </c>
      <c r="D116" t="str">
        <v>منقولة من المدينة الاكاديمية</v>
      </c>
    </row>
    <row r="117">
      <c r="A117">
        <v>4073</v>
      </c>
      <c r="C117" t="str">
        <v>نورا مجدي جلال محمود</v>
      </c>
      <c r="D117" t="str">
        <v>من المستقطبين الجدد</v>
      </c>
      <c r="H117">
        <v>45517</v>
      </c>
    </row>
    <row r="118">
      <c r="A118">
        <v>3838</v>
      </c>
      <c r="C118" t="str">
        <v>كوثر محمد شفيق جلال</v>
      </c>
      <c r="D118" t="str">
        <v>منقولة من دار البراءة</v>
      </c>
    </row>
    <row r="119">
      <c r="A119">
        <v>3406</v>
      </c>
      <c r="C119" t="str">
        <v>نورة عبدالعزيز الغانم</v>
      </c>
      <c r="D119" t="str">
        <v>منقولة من الدبلومة برحاب المعرفة</v>
      </c>
    </row>
    <row r="120">
      <c r="A120">
        <v>3741</v>
      </c>
      <c r="C120" t="str">
        <v>فاطمة هاني عقدة</v>
      </c>
      <c r="D120" t="str">
        <v>بالدبلومة الامريكية من العام الماضي</v>
      </c>
    </row>
    <row r="121">
      <c r="A121">
        <v>3748</v>
      </c>
      <c r="C121" t="str">
        <v>نهال حسين علي احمد</v>
      </c>
      <c r="D121" t="str">
        <v>بالدبلومة الامريكية من العام الماضي</v>
      </c>
    </row>
    <row r="122">
      <c r="A122">
        <v>3751</v>
      </c>
      <c r="C122" t="str">
        <v>لينة عصام الدين سنوسي</v>
      </c>
      <c r="D122" t="str">
        <v>بالدبلومة الامريكية من العام الماضي</v>
      </c>
    </row>
    <row r="123">
      <c r="A123">
        <v>3742</v>
      </c>
      <c r="C123" t="str">
        <v>فاتن ماهر محمد</v>
      </c>
      <c r="D123" t="str">
        <v>بالدبلومة الامريكية من العام الماضي</v>
      </c>
    </row>
    <row r="124">
      <c r="A124">
        <v>3746</v>
      </c>
      <c r="C124" t="str">
        <v>اميرة محمود هلال</v>
      </c>
      <c r="D124" t="str">
        <v>بالدبلومة الامريكية من العام الماضي</v>
      </c>
    </row>
    <row r="125">
      <c r="A125" t="str">
        <v>ياسر علوانى حفنى حسن</v>
      </c>
      <c r="B125" t="str">
        <v>مدارس رائدة السلام</v>
      </c>
      <c r="C125" t="str">
        <v>إدارة المجمع</v>
      </c>
      <c r="D125" t="str">
        <v>طاقم تعليمي</v>
      </c>
      <c r="E125" t="str">
        <v>2295980011</v>
      </c>
      <c r="F125" t="str">
        <v>21</v>
      </c>
      <c r="G125">
        <v>25659</v>
      </c>
      <c r="H125">
        <v>43703</v>
      </c>
      <c r="I125">
        <v>43703</v>
      </c>
      <c r="J125" t="str">
        <v>595617259</v>
      </c>
      <c r="K125" t="str">
        <v>2295980011@al-tanmiah.com</v>
      </c>
      <c r="L125" t="str">
        <v>لا يوجد</v>
      </c>
      <c r="M125" t="str">
        <v>مفعل</v>
      </c>
      <c r="N125" t="str">
        <v>منسق تعليمي</v>
      </c>
      <c r="O125" t="str">
        <v>مقيم تأمينات</v>
      </c>
      <c r="P125" t="str">
        <v>شركة التنمية المتكاملة للتعليم والتدريب</v>
      </c>
      <c r="Q125" t="str">
        <v>مصر</v>
      </c>
      <c r="R125" t="str">
        <v>SA7805000068204498681000</v>
      </c>
      <c r="S125" t="str">
        <v>بنك الانماء</v>
      </c>
      <c r="T125" t="str">
        <v>بنك</v>
      </c>
      <c r="V125" t="str">
        <v>بدون عمولة</v>
      </c>
      <c r="W125">
        <v>0</v>
      </c>
      <c r="X125" t="str">
        <v>ذكر</v>
      </c>
      <c r="Y125" t="str">
        <v>نعم</v>
      </c>
      <c r="AA125" t="str">
        <v>الرياض</v>
      </c>
      <c r="AB125" t="str">
        <v>بنين</v>
      </c>
      <c r="AD125" t="str">
        <v>إدارة المجمعات التعليمية</v>
      </c>
      <c r="AE125">
        <v>54</v>
      </c>
      <c r="AF125" t="str">
        <v>اهلي</v>
      </c>
      <c r="AG125">
        <v>53</v>
      </c>
    </row>
    <row r="126">
      <c r="A126" t="str">
        <v>حسين علي محمد عبدالحميد عويضة</v>
      </c>
      <c r="B126" t="str">
        <v>مدارس رائدة السلام</v>
      </c>
      <c r="C126" t="str">
        <v>ثانوي</v>
      </c>
      <c r="D126" t="str">
        <v>طاقم تعليمي</v>
      </c>
      <c r="E126" t="str">
        <v>2459416059</v>
      </c>
      <c r="F126" t="str">
        <v>57</v>
      </c>
      <c r="G126">
        <v>34249</v>
      </c>
      <c r="H126">
        <v>43377</v>
      </c>
      <c r="I126">
        <v>43377</v>
      </c>
      <c r="J126" t="str">
        <v>590775476</v>
      </c>
      <c r="K126" t="str">
        <v>2459416059@al-tanmiah.com</v>
      </c>
      <c r="L126" t="str">
        <v>لا يوجد</v>
      </c>
      <c r="M126" t="str">
        <v>مفعل</v>
      </c>
      <c r="N126" t="str">
        <v>معلم</v>
      </c>
      <c r="O126" t="str">
        <v>مقيم تأمينات</v>
      </c>
      <c r="P126" t="str">
        <v>شركة التنمية المتكاملة للتعليم والتدريب</v>
      </c>
      <c r="Q126" t="str">
        <v>مصر</v>
      </c>
      <c r="R126" t="str">
        <v>SA2305000068204497647000</v>
      </c>
      <c r="S126" t="str">
        <v>بنك الانماء</v>
      </c>
      <c r="T126" t="str">
        <v>بنك</v>
      </c>
      <c r="V126" t="str">
        <v>بدون عمولة</v>
      </c>
      <c r="W126">
        <v>0</v>
      </c>
      <c r="X126" t="str">
        <v>ذكر</v>
      </c>
      <c r="Y126" t="str">
        <v>نعم</v>
      </c>
      <c r="AA126" t="str">
        <v>الرياض</v>
      </c>
      <c r="AB126" t="str">
        <v>بنين</v>
      </c>
      <c r="AD126" t="str">
        <v>إدارة المجمعات التعليمية</v>
      </c>
      <c r="AE126">
        <v>31</v>
      </c>
      <c r="AF126" t="str">
        <v>اهلي</v>
      </c>
      <c r="AG126">
        <v>31</v>
      </c>
    </row>
    <row r="127">
      <c r="A127" t="str">
        <v>حسن محمد حسن السيد</v>
      </c>
      <c r="B127" t="str">
        <v>مدارس رائدة السلام</v>
      </c>
      <c r="C127" t="str">
        <v>متوسط</v>
      </c>
      <c r="D127" t="str">
        <v>طاقم تعليمي</v>
      </c>
      <c r="E127" t="str">
        <v>2382315600</v>
      </c>
      <c r="F127" t="str">
        <v>81</v>
      </c>
      <c r="G127">
        <v>26112</v>
      </c>
      <c r="H127">
        <v>42064</v>
      </c>
      <c r="I127">
        <v>42064</v>
      </c>
      <c r="J127" t="str">
        <v>541567650</v>
      </c>
      <c r="K127" t="str">
        <v>2382315600@al-tanmiah.com</v>
      </c>
      <c r="L127" t="str">
        <v>لا يوجد</v>
      </c>
      <c r="M127" t="str">
        <v>مفعل</v>
      </c>
      <c r="N127" t="str">
        <v>معلم</v>
      </c>
      <c r="O127" t="str">
        <v>مقيم تأمينات</v>
      </c>
      <c r="P127" t="str">
        <v>شركة التنمية المتكاملة للتعليم والتدريب</v>
      </c>
      <c r="Q127" t="str">
        <v>مصر</v>
      </c>
      <c r="R127" t="str">
        <v>SA3205000068204500377000</v>
      </c>
      <c r="S127" t="str">
        <v>بنك الانماء</v>
      </c>
      <c r="T127" t="str">
        <v>بنك</v>
      </c>
      <c r="V127" t="str">
        <v>بدون عمولة</v>
      </c>
      <c r="W127">
        <v>0</v>
      </c>
      <c r="X127" t="str">
        <v>ذكر</v>
      </c>
      <c r="Y127" t="str">
        <v>نعم</v>
      </c>
      <c r="AA127" t="str">
        <v>الرياض</v>
      </c>
      <c r="AB127" t="str">
        <v>بنين</v>
      </c>
      <c r="AD127" t="str">
        <v>إدارة المجمعات التعليمية</v>
      </c>
      <c r="AE127">
        <v>53</v>
      </c>
      <c r="AF127" t="str">
        <v>اهلي</v>
      </c>
      <c r="AG127">
        <v>52</v>
      </c>
    </row>
    <row r="128">
      <c r="A128" t="str">
        <v>خالد سعد سعود المطيري</v>
      </c>
      <c r="B128" t="str">
        <v>مدارس رائدة السلام</v>
      </c>
      <c r="C128" t="str">
        <v>متوسط</v>
      </c>
      <c r="D128" t="str">
        <v>طاقم تعليمي</v>
      </c>
      <c r="E128" t="str">
        <v>1077677175</v>
      </c>
      <c r="F128" t="str">
        <v>83</v>
      </c>
      <c r="G128">
        <v>33801</v>
      </c>
      <c r="H128">
        <v>44501</v>
      </c>
      <c r="I128">
        <v>44501</v>
      </c>
      <c r="J128" t="str">
        <v>599979305</v>
      </c>
      <c r="K128" t="str">
        <v>1077677175@al-tanmiah.com</v>
      </c>
      <c r="L128" t="str">
        <v>لا يوجد</v>
      </c>
      <c r="M128" t="str">
        <v>مفعل</v>
      </c>
      <c r="N128" t="str">
        <v>معلم</v>
      </c>
      <c r="O128" t="str">
        <v>سعودي تأمينات</v>
      </c>
      <c r="P128" t="str">
        <v>شركة التنمية المتكاملة للتعليم والتدريب</v>
      </c>
      <c r="Q128" t="str">
        <v>السعودية</v>
      </c>
      <c r="R128" t="str">
        <v>SA4305000068204499284000</v>
      </c>
      <c r="S128" t="str">
        <v>بنك الانماء</v>
      </c>
      <c r="T128" t="str">
        <v>بنك</v>
      </c>
      <c r="V128" t="str">
        <v>بدون عمولة</v>
      </c>
      <c r="W128">
        <v>0</v>
      </c>
      <c r="X128" t="str">
        <v>ذكر</v>
      </c>
      <c r="Y128" t="str">
        <v>نعم</v>
      </c>
      <c r="AA128" t="str">
        <v>الرياض</v>
      </c>
      <c r="AB128" t="str">
        <v>بنين</v>
      </c>
      <c r="AD128" t="str">
        <v>إدارة المجمعات التعليمية</v>
      </c>
      <c r="AE128">
        <v>32</v>
      </c>
      <c r="AF128" t="str">
        <v>اهلي</v>
      </c>
      <c r="AG128">
        <v>32</v>
      </c>
    </row>
    <row r="129">
      <c r="A129" t="str">
        <v>وسيم عبد ربه عبد ربه خير</v>
      </c>
      <c r="B129" t="str">
        <v>مدارس رائدة السلام</v>
      </c>
      <c r="C129" t="str">
        <v>ثانوي</v>
      </c>
      <c r="D129" t="str">
        <v>طاقم تعليمي</v>
      </c>
      <c r="E129" t="str">
        <v>2353869387</v>
      </c>
      <c r="F129" t="str">
        <v>90</v>
      </c>
      <c r="G129">
        <v>24326</v>
      </c>
      <c r="H129">
        <v>41512</v>
      </c>
      <c r="I129">
        <v>41512</v>
      </c>
      <c r="J129" t="str">
        <v>0569270288</v>
      </c>
      <c r="K129" t="str">
        <v>2353869387@al-tanmiah.com</v>
      </c>
      <c r="L129" t="str">
        <v>لا يوجد</v>
      </c>
      <c r="M129" t="str">
        <v>مفعل</v>
      </c>
      <c r="N129" t="str">
        <v>معلم</v>
      </c>
      <c r="O129" t="str">
        <v>مقيم تأمينات</v>
      </c>
      <c r="P129" t="str">
        <v>شركة التنمية المتكاملة للتعليم والتدريب</v>
      </c>
      <c r="Q129" t="str">
        <v>مصر</v>
      </c>
      <c r="R129" t="str">
        <v>SA3405000068204495972000</v>
      </c>
      <c r="S129" t="str">
        <v>بنك الانماء</v>
      </c>
      <c r="T129" t="str">
        <v>بنك</v>
      </c>
      <c r="V129" t="str">
        <v>بدون عمولة</v>
      </c>
      <c r="W129">
        <v>0</v>
      </c>
      <c r="X129" t="str">
        <v>ذكر</v>
      </c>
      <c r="Y129" t="str">
        <v>نعم</v>
      </c>
      <c r="AA129" t="str">
        <v>الرياض</v>
      </c>
      <c r="AB129" t="str">
        <v>بنين</v>
      </c>
      <c r="AD129" t="str">
        <v>إدارة المجمعات التعليمية</v>
      </c>
      <c r="AE129">
        <v>58</v>
      </c>
      <c r="AF129" t="str">
        <v>اهلي</v>
      </c>
      <c r="AG129">
        <v>57</v>
      </c>
    </row>
    <row r="130">
      <c r="A130" t="str">
        <v>ابراهيم عبدرب النبي عبدالسلام شبكه</v>
      </c>
      <c r="B130" t="str">
        <v>مدارس رائدة السلام</v>
      </c>
      <c r="C130" t="str">
        <v>ثانوي</v>
      </c>
      <c r="D130" t="str">
        <v>طاقم تعليمي</v>
      </c>
      <c r="E130" t="str">
        <v>2108240462</v>
      </c>
      <c r="F130" t="str">
        <v>92</v>
      </c>
      <c r="G130">
        <v>25743</v>
      </c>
      <c r="H130">
        <v>38977</v>
      </c>
      <c r="I130">
        <v>38977</v>
      </c>
      <c r="J130" t="str">
        <v>508901528</v>
      </c>
      <c r="K130" t="str">
        <v>2108240462@al-tanmiah.com</v>
      </c>
      <c r="L130" t="str">
        <v>لا يوجد</v>
      </c>
      <c r="M130" t="str">
        <v>مفعل</v>
      </c>
      <c r="N130" t="str">
        <v>معلم</v>
      </c>
      <c r="O130" t="str">
        <v>مقيم تأمينات</v>
      </c>
      <c r="P130" t="str">
        <v>شركة التنمية المتكاملة للتعليم والتدريب</v>
      </c>
      <c r="Q130" t="str">
        <v>مصر</v>
      </c>
      <c r="R130" t="str">
        <v>SA4805000068204528769000</v>
      </c>
      <c r="S130" t="str">
        <v>بنك الانماء</v>
      </c>
      <c r="T130" t="str">
        <v>بنك</v>
      </c>
      <c r="V130" t="str">
        <v>بدون عمولة</v>
      </c>
      <c r="W130">
        <v>0</v>
      </c>
      <c r="X130" t="str">
        <v>ذكر</v>
      </c>
      <c r="Y130" t="str">
        <v>نعم</v>
      </c>
      <c r="AA130" t="str">
        <v>الرياض</v>
      </c>
      <c r="AB130" t="str">
        <v>بنين</v>
      </c>
      <c r="AD130" t="str">
        <v>إدارة المجمعات التعليمية</v>
      </c>
      <c r="AE130">
        <v>54</v>
      </c>
      <c r="AF130" t="str">
        <v>اهلي</v>
      </c>
      <c r="AG130">
        <v>53</v>
      </c>
    </row>
    <row r="131">
      <c r="A131" t="str">
        <v>قصي حسن حسن زقزاق</v>
      </c>
      <c r="B131" t="str">
        <v>مدارس رائدة السلام</v>
      </c>
      <c r="C131" t="str">
        <v>متوسط</v>
      </c>
      <c r="D131" t="str">
        <v>طاقم تعليمي</v>
      </c>
      <c r="E131" t="str">
        <v>2295725507</v>
      </c>
      <c r="F131" t="str">
        <v>93</v>
      </c>
      <c r="G131">
        <v>26853</v>
      </c>
      <c r="H131">
        <v>43678</v>
      </c>
      <c r="I131">
        <v>43678</v>
      </c>
      <c r="J131" t="str">
        <v>532811458</v>
      </c>
      <c r="K131" t="str">
        <v>2295725507@al-tanmiah.com</v>
      </c>
      <c r="L131" t="str">
        <v>لا يوجد</v>
      </c>
      <c r="M131" t="str">
        <v>مفعل</v>
      </c>
      <c r="N131" t="str">
        <v>معلم</v>
      </c>
      <c r="O131" t="str">
        <v>مقيم تأمينات</v>
      </c>
      <c r="P131" t="str">
        <v>شركة التنمية المتكاملة للتعليم والتدريب</v>
      </c>
      <c r="Q131" t="str">
        <v>سوريا</v>
      </c>
      <c r="R131" t="str">
        <v>SA8505000068204498929000</v>
      </c>
      <c r="S131" t="str">
        <v>بنك الانماء</v>
      </c>
      <c r="T131" t="str">
        <v>بنك</v>
      </c>
      <c r="V131" t="str">
        <v>بدون عمولة</v>
      </c>
      <c r="W131">
        <v>0</v>
      </c>
      <c r="X131" t="str">
        <v>ذكر</v>
      </c>
      <c r="Y131" t="str">
        <v>نعم</v>
      </c>
      <c r="AA131" t="str">
        <v>الرياض</v>
      </c>
      <c r="AB131" t="str">
        <v>بنين</v>
      </c>
      <c r="AD131" t="str">
        <v>إدارة المجمعات التعليمية</v>
      </c>
      <c r="AE131">
        <v>51</v>
      </c>
      <c r="AF131" t="str">
        <v>اهلي</v>
      </c>
      <c r="AG131">
        <v>50</v>
      </c>
    </row>
    <row r="132">
      <c r="A132" t="str">
        <v>محمد متولى محمد حسن</v>
      </c>
      <c r="B132" t="str">
        <v>مدارس رائدة السلام</v>
      </c>
      <c r="C132" t="str">
        <v>ثانوي</v>
      </c>
      <c r="D132" t="str">
        <v>طاقم تعليمي</v>
      </c>
      <c r="E132" t="str">
        <v>2397060761</v>
      </c>
      <c r="F132" t="str">
        <v>99</v>
      </c>
      <c r="G132">
        <v>28220</v>
      </c>
      <c r="H132">
        <v>42235</v>
      </c>
      <c r="I132">
        <v>42235</v>
      </c>
      <c r="J132" t="str">
        <v>558231985</v>
      </c>
      <c r="K132" t="str">
        <v>2397060761@al-tanmiah.com</v>
      </c>
      <c r="L132" t="str">
        <v>لا يوجد</v>
      </c>
      <c r="M132" t="str">
        <v>مفعل</v>
      </c>
      <c r="N132" t="str">
        <v>معلم</v>
      </c>
      <c r="O132" t="str">
        <v>مقيم تأمينات</v>
      </c>
      <c r="P132" t="str">
        <v>شركة التنمية المتكاملة للتعليم والتدريب</v>
      </c>
      <c r="Q132" t="str">
        <v>مصر</v>
      </c>
      <c r="R132" t="str">
        <v>SA3005000068204495373000</v>
      </c>
      <c r="S132" t="str">
        <v>بنك الانماء</v>
      </c>
      <c r="T132" t="str">
        <v>بنك</v>
      </c>
      <c r="V132" t="str">
        <v>بدون عمولة</v>
      </c>
      <c r="W132">
        <v>0</v>
      </c>
      <c r="X132" t="str">
        <v>ذكر</v>
      </c>
      <c r="Y132" t="str">
        <v>نعم</v>
      </c>
      <c r="AA132" t="str">
        <v>الرياض</v>
      </c>
      <c r="AB132" t="str">
        <v>بنين</v>
      </c>
      <c r="AD132" t="str">
        <v>إدارة المجمعات التعليمية</v>
      </c>
      <c r="AE132">
        <v>47</v>
      </c>
      <c r="AF132" t="str">
        <v>اهلي</v>
      </c>
      <c r="AG132">
        <v>46</v>
      </c>
    </row>
    <row r="133">
      <c r="A133" t="str">
        <v>فريج السعيد كمال محمد رزق</v>
      </c>
      <c r="B133" t="str">
        <v>مدارس رائدة السلام</v>
      </c>
      <c r="C133" t="str">
        <v>ثانوي</v>
      </c>
      <c r="D133" t="str">
        <v>طاقم تعليمي</v>
      </c>
      <c r="E133" t="str">
        <v>2422266433</v>
      </c>
      <c r="F133" t="str">
        <v>100</v>
      </c>
      <c r="G133">
        <v>33030</v>
      </c>
      <c r="H133">
        <v>42634</v>
      </c>
      <c r="I133">
        <v>42634</v>
      </c>
      <c r="J133" t="str">
        <v>593544970</v>
      </c>
      <c r="K133" t="str">
        <v>2422266433@al-tanmiah.com</v>
      </c>
      <c r="L133" t="str">
        <v>لا يوجد</v>
      </c>
      <c r="M133" t="str">
        <v>مفعل</v>
      </c>
      <c r="N133" t="str">
        <v>معلم</v>
      </c>
      <c r="O133" t="str">
        <v>مقيم تأمينات</v>
      </c>
      <c r="P133" t="str">
        <v>شركة التنمية المتكاملة للتعليم والتدريب</v>
      </c>
      <c r="Q133" t="str">
        <v>مصر</v>
      </c>
      <c r="R133" t="str">
        <v>SA0205000068204497582000</v>
      </c>
      <c r="S133" t="str">
        <v>بنك الانماء</v>
      </c>
      <c r="T133" t="str">
        <v>بنك</v>
      </c>
      <c r="V133" t="str">
        <v>بدون عمولة</v>
      </c>
      <c r="W133">
        <v>0</v>
      </c>
      <c r="X133" t="str">
        <v>ذكر</v>
      </c>
      <c r="Y133" t="str">
        <v>نعم</v>
      </c>
      <c r="AA133" t="str">
        <v>الرياض</v>
      </c>
      <c r="AB133" t="str">
        <v>بنين</v>
      </c>
      <c r="AD133" t="str">
        <v>إدارة المجمعات التعليمية</v>
      </c>
      <c r="AE133">
        <v>34</v>
      </c>
      <c r="AF133" t="str">
        <v>اهلي</v>
      </c>
      <c r="AG133">
        <v>33</v>
      </c>
    </row>
    <row r="134">
      <c r="A134" t="str">
        <v>محمد مصطفي محمد سنهابي</v>
      </c>
      <c r="B134" t="str">
        <v>مدارس رائدة السلام</v>
      </c>
      <c r="C134" t="str">
        <v>ثانوي</v>
      </c>
      <c r="D134" t="str">
        <v>طاقم تعليمي</v>
      </c>
      <c r="E134" t="str">
        <v>2372202024</v>
      </c>
      <c r="F134" t="str">
        <v>114</v>
      </c>
      <c r="G134">
        <v>30064</v>
      </c>
      <c r="H134">
        <v>41877</v>
      </c>
      <c r="I134">
        <v>41877</v>
      </c>
      <c r="J134" t="str">
        <v>531504194</v>
      </c>
      <c r="K134" t="str">
        <v>2372202024@al-tanmiah.com</v>
      </c>
      <c r="L134" t="str">
        <v>لا يوجد</v>
      </c>
      <c r="M134" t="str">
        <v>مفعل</v>
      </c>
      <c r="N134" t="str">
        <v>معلم</v>
      </c>
      <c r="O134" t="str">
        <v>مقيم تأمينات</v>
      </c>
      <c r="P134" t="str">
        <v>شركة التنمية المتكاملة للتعليم والتدريب</v>
      </c>
      <c r="Q134" t="str">
        <v>مصر</v>
      </c>
      <c r="R134" t="str">
        <v>SA1205000068204495636000</v>
      </c>
      <c r="S134" t="str">
        <v>بنك الانماء</v>
      </c>
      <c r="T134" t="str">
        <v>بنك</v>
      </c>
      <c r="V134" t="str">
        <v>بدون عمولة</v>
      </c>
      <c r="W134">
        <v>0</v>
      </c>
      <c r="X134" t="str">
        <v>ذكر</v>
      </c>
      <c r="Y134" t="str">
        <v>نعم</v>
      </c>
      <c r="AA134" t="str">
        <v>الرياض</v>
      </c>
      <c r="AB134" t="str">
        <v>بنين</v>
      </c>
      <c r="AD134" t="str">
        <v>إدارة المجمعات التعليمية</v>
      </c>
      <c r="AE134">
        <v>42</v>
      </c>
      <c r="AF134" t="str">
        <v>اهلي</v>
      </c>
      <c r="AG134">
        <v>41</v>
      </c>
    </row>
    <row r="135">
      <c r="A135" t="str">
        <v>محمد احمد عبدالله عبد الفتاح</v>
      </c>
      <c r="B135" t="str">
        <v>مدارس رائدة السلام</v>
      </c>
      <c r="C135" t="str">
        <v>ثانوي</v>
      </c>
      <c r="D135" t="str">
        <v>طاقم تعليمي</v>
      </c>
      <c r="E135" t="str">
        <v>2323205456</v>
      </c>
      <c r="F135" t="str">
        <v>132</v>
      </c>
      <c r="G135">
        <v>30686</v>
      </c>
      <c r="H135">
        <v>41031</v>
      </c>
      <c r="I135">
        <v>41031</v>
      </c>
      <c r="J135" t="str">
        <v>563172158</v>
      </c>
      <c r="K135" t="str">
        <v>2323205456@al-tanmiah.com</v>
      </c>
      <c r="L135" t="str">
        <v>لا يوجد</v>
      </c>
      <c r="M135" t="str">
        <v>مفعل</v>
      </c>
      <c r="N135" t="str">
        <v>معلم</v>
      </c>
      <c r="O135" t="str">
        <v>مقيم تأمينات</v>
      </c>
      <c r="P135" t="str">
        <v>شركة التنمية المتكاملة للتعليم والتدريب</v>
      </c>
      <c r="Q135" t="str">
        <v>مصر</v>
      </c>
      <c r="R135" t="str">
        <v>SA6305000068203004405000</v>
      </c>
      <c r="S135" t="str">
        <v>بنك الانماء</v>
      </c>
      <c r="T135" t="str">
        <v>بنك</v>
      </c>
      <c r="V135" t="str">
        <v>بدون عمولة</v>
      </c>
      <c r="W135">
        <v>0</v>
      </c>
      <c r="X135" t="str">
        <v>ذكر</v>
      </c>
      <c r="Y135" t="str">
        <v>نعم</v>
      </c>
      <c r="AA135" t="str">
        <v>الرياض</v>
      </c>
      <c r="AB135" t="str">
        <v>بنين</v>
      </c>
      <c r="AD135" t="str">
        <v>إدارة المجمعات التعليمية</v>
      </c>
      <c r="AE135">
        <v>40</v>
      </c>
      <c r="AF135" t="str">
        <v>اهلي</v>
      </c>
      <c r="AG135">
        <v>39</v>
      </c>
    </row>
    <row r="136">
      <c r="A136" t="str">
        <v>محمد مفرح عبد العالي العنزي</v>
      </c>
      <c r="B136" t="str">
        <v>مدارس رائدة السلام</v>
      </c>
      <c r="C136" t="str">
        <v>متوسط</v>
      </c>
      <c r="D136" t="str">
        <v>طاقم تعليمي</v>
      </c>
      <c r="E136" t="str">
        <v>1086111679</v>
      </c>
      <c r="F136" t="str">
        <v>165</v>
      </c>
      <c r="G136">
        <v>34066</v>
      </c>
      <c r="H136">
        <v>43348</v>
      </c>
      <c r="I136">
        <v>43348</v>
      </c>
      <c r="J136" t="str">
        <v>545386278</v>
      </c>
      <c r="K136" t="str">
        <v>1086111679@al-tanmiah.com</v>
      </c>
      <c r="L136" t="str">
        <v>لا يوجد</v>
      </c>
      <c r="M136" t="str">
        <v>مفعل</v>
      </c>
      <c r="N136" t="str">
        <v>مدير مرحلة</v>
      </c>
      <c r="O136" t="str">
        <v>سعودي تأمينات</v>
      </c>
      <c r="P136" t="str">
        <v>شركة التنمية المتكاملة للتعليم والتدريب</v>
      </c>
      <c r="Q136" t="str">
        <v>السعودية</v>
      </c>
      <c r="R136" t="str">
        <v>SA5105000068201038691001</v>
      </c>
      <c r="S136" t="str">
        <v>بنك الانماء</v>
      </c>
      <c r="T136" t="str">
        <v>بنك</v>
      </c>
      <c r="V136" t="str">
        <v>بدون عمولة</v>
      </c>
      <c r="W136">
        <v>0</v>
      </c>
      <c r="X136" t="str">
        <v>ذكر</v>
      </c>
      <c r="Y136" t="str">
        <v>نعم</v>
      </c>
      <c r="AA136" t="str">
        <v>الرياض</v>
      </c>
      <c r="AB136" t="str">
        <v>بنين</v>
      </c>
      <c r="AD136" t="str">
        <v>إدارة المجمعات التعليمية</v>
      </c>
      <c r="AE136">
        <v>31</v>
      </c>
      <c r="AF136" t="str">
        <v>اهلي</v>
      </c>
      <c r="AG136">
        <v>31</v>
      </c>
    </row>
    <row r="137">
      <c r="A137" t="str">
        <v>سعود محمد فيحان المطيري</v>
      </c>
      <c r="B137" t="str">
        <v>مدارس رائدة السلام</v>
      </c>
      <c r="C137" t="str">
        <v>ثانوي</v>
      </c>
      <c r="D137" t="str">
        <v>طاقم تعليمي</v>
      </c>
      <c r="E137" t="str">
        <v>1081571646</v>
      </c>
      <c r="F137" t="str">
        <v>2529</v>
      </c>
      <c r="G137">
        <v>34110</v>
      </c>
      <c r="H137">
        <v>44801</v>
      </c>
      <c r="I137">
        <v>44801</v>
      </c>
      <c r="J137" t="str">
        <v>558158466</v>
      </c>
      <c r="K137" t="str">
        <v>alsdsd168@gmail.com</v>
      </c>
      <c r="L137">
        <v>44801</v>
      </c>
      <c r="M137" t="str">
        <v>مفعل</v>
      </c>
      <c r="N137" t="str">
        <v>معلم</v>
      </c>
      <c r="O137" t="str">
        <v>سعودي تأمينات</v>
      </c>
      <c r="P137" t="str">
        <v>شركة التنمية المتكاملة للتعليم والتدريب</v>
      </c>
      <c r="Q137" t="str">
        <v>السعودية</v>
      </c>
      <c r="R137" t="str">
        <v>SA9405000068204496906000</v>
      </c>
      <c r="S137" t="str">
        <v>بنك الانماء</v>
      </c>
      <c r="T137" t="str">
        <v>بنك</v>
      </c>
      <c r="V137" t="str">
        <v>بدون عمولة</v>
      </c>
      <c r="W137">
        <v>0</v>
      </c>
      <c r="X137" t="str">
        <v>ذكر</v>
      </c>
      <c r="Y137" t="str">
        <v>نعم</v>
      </c>
      <c r="AA137" t="str">
        <v>الرياض</v>
      </c>
      <c r="AB137" t="str">
        <v>بنين</v>
      </c>
      <c r="AD137" t="str">
        <v>إدارة المجمعات التعليمية</v>
      </c>
      <c r="AE137">
        <v>31</v>
      </c>
      <c r="AF137" t="str">
        <v>اهلي</v>
      </c>
      <c r="AG137">
        <v>31</v>
      </c>
    </row>
    <row r="138">
      <c r="A138" t="str">
        <v>محمد على ابراهيم احمد</v>
      </c>
      <c r="B138" t="str">
        <v>مدارس رائدة السلام</v>
      </c>
      <c r="C138" t="str">
        <v>ثانوي</v>
      </c>
      <c r="D138" t="str">
        <v>طاقم تعليمي</v>
      </c>
      <c r="E138" t="str">
        <v>2555224241</v>
      </c>
      <c r="F138" t="str">
        <v>3068</v>
      </c>
      <c r="G138">
        <v>31699</v>
      </c>
      <c r="H138">
        <v>45152</v>
      </c>
      <c r="I138">
        <v>45152</v>
      </c>
      <c r="J138" t="str">
        <v>570578529</v>
      </c>
      <c r="K138" t="str">
        <v>3132283767@altanmiyah.edu.sa</v>
      </c>
      <c r="L138" t="str">
        <v>لا يوجد</v>
      </c>
      <c r="M138" t="str">
        <v>مفعل</v>
      </c>
      <c r="N138" t="str">
        <v>معلم</v>
      </c>
      <c r="O138" t="str">
        <v>مقيم تأمينات</v>
      </c>
      <c r="P138" t="str">
        <v>شركة التنمية المتكاملة للتعليم والتدريب</v>
      </c>
      <c r="Q138" t="str">
        <v>مصر</v>
      </c>
      <c r="R138" t="str">
        <v>SA4205000068204870523000</v>
      </c>
      <c r="S138" t="str">
        <v>بنك الانماء</v>
      </c>
      <c r="T138" t="str">
        <v>بنك</v>
      </c>
      <c r="V138" t="str">
        <v>بدون عمولة</v>
      </c>
      <c r="W138">
        <v>0</v>
      </c>
      <c r="X138" t="str">
        <v>ذكر</v>
      </c>
      <c r="Y138" t="str">
        <v>نعم</v>
      </c>
      <c r="AA138" t="str">
        <v>الرياض</v>
      </c>
      <c r="AB138" t="str">
        <v>بنين</v>
      </c>
      <c r="AD138" t="str">
        <v>إدارة المجمعات التعليمية</v>
      </c>
      <c r="AE138">
        <v>38</v>
      </c>
      <c r="AF138" t="str">
        <v>اهلي</v>
      </c>
      <c r="AG138">
        <v>37</v>
      </c>
    </row>
    <row r="139">
      <c r="A139" t="str">
        <v>مصطفى فتحى سيد احمد</v>
      </c>
      <c r="B139" t="str">
        <v>مدارس رائدة السلام</v>
      </c>
      <c r="C139" t="str">
        <v>ثانوي</v>
      </c>
      <c r="D139" t="str">
        <v>طاقم تعليمي</v>
      </c>
      <c r="E139" t="str">
        <v>2555225339</v>
      </c>
      <c r="F139" t="str">
        <v>3072</v>
      </c>
      <c r="G139">
        <v>35396</v>
      </c>
      <c r="H139">
        <v>45154</v>
      </c>
      <c r="I139">
        <v>45154</v>
      </c>
      <c r="J139" t="str">
        <v>570338992</v>
      </c>
      <c r="K139" t="str">
        <v>3132284047@altanmiyah.edu.sa</v>
      </c>
      <c r="L139" t="str">
        <v>لا يوجد</v>
      </c>
      <c r="M139" t="str">
        <v>مفعل</v>
      </c>
      <c r="N139" t="str">
        <v>معلم</v>
      </c>
      <c r="O139" t="str">
        <v>مقيم تأمينات</v>
      </c>
      <c r="P139" t="str">
        <v>شركة التنمية المتكاملة للتعليم والتدريب</v>
      </c>
      <c r="Q139" t="str">
        <v>مصر</v>
      </c>
      <c r="R139" t="str">
        <v>SA6405000068204871635000</v>
      </c>
      <c r="S139" t="str">
        <v>بنك الانماء</v>
      </c>
      <c r="T139" t="str">
        <v>بنك</v>
      </c>
      <c r="V139" t="str">
        <v>بدون عمولة</v>
      </c>
      <c r="W139">
        <v>0</v>
      </c>
      <c r="X139" t="str">
        <v>ذكر</v>
      </c>
      <c r="Y139" t="str">
        <v>نعم</v>
      </c>
      <c r="AA139" t="str">
        <v>الرياض</v>
      </c>
      <c r="AB139" t="str">
        <v>بنين</v>
      </c>
      <c r="AD139" t="str">
        <v>إدارة المجمعات التعليمية</v>
      </c>
      <c r="AE139">
        <v>28</v>
      </c>
      <c r="AF139" t="str">
        <v>اهلي</v>
      </c>
      <c r="AG139">
        <v>28</v>
      </c>
    </row>
  </sheetData>
  <pageMargins left="1" right="1" top="1" bottom="1" header="0.3" footer="0.3"/>
  <ignoredErrors>
    <ignoredError numberStoredAsText="1" sqref="A1:AH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75"/>
  <sheetViews>
    <sheetView workbookViewId="0" rightToLeft="1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>اسنادات ابتدائي</v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المعلم</v>
      </c>
      <c r="B4" t="str">
        <v>المادة</v>
      </c>
      <c r="C4" t="str">
        <v>عدد حصص المعلم بالمدرسة</v>
      </c>
      <c r="D4" t="str">
        <v>الإسناد</v>
      </c>
      <c r="E4" t="str">
        <v>إجمالي نصاب المعلم</v>
      </c>
    </row>
    <row r="5">
      <c r="A5" t="str">
        <v>العفيفي عبد الجواد</v>
      </c>
      <c r="B5" t="str">
        <v>معلم صف أول</v>
      </c>
      <c r="C5" t="str">
        <v>24</v>
      </c>
      <c r="D5" t="str">
        <v>(٨) لغتي ص١+ (٤) اسلاميات ص١+ (٥) رياضيات ص١+ (٢) بدنية ص١+ (١) مهارات حياتية ص١ + (1) فنية ص١ + (3) علوم ص1</v>
      </c>
      <c r="E5" t="str">
        <v>24</v>
      </c>
    </row>
    <row r="6">
      <c r="A6" t="str">
        <v>محمود عبدالحسيب</v>
      </c>
      <c r="B6" t="str">
        <v>معلم صف أول</v>
      </c>
      <c r="C6" t="str">
        <v>24</v>
      </c>
      <c r="D6" t="str">
        <v>(٨) لغتي ص١+ (٤) اسلاميات ص١+ (٥) رياضيات ص١+ (٢) بدنية ص١+ (١) مهارات حياتية ص١ + (1) فنية ص١ + (3) علوم ص1</v>
      </c>
      <c r="E6" t="str">
        <v>24</v>
      </c>
    </row>
    <row r="7">
      <c r="A7" t="str">
        <v>عبد العزيز يونس</v>
      </c>
      <c r="B7" t="str">
        <v>معلم صف ثاني</v>
      </c>
      <c r="C7" t="str">
        <v>24</v>
      </c>
      <c r="D7" t="str">
        <v xml:space="preserve">(١٤) لغتي ص٢ فصلين + (١٠) اسلاميات ص٢ فصلين </v>
      </c>
      <c r="E7" t="str">
        <v>24</v>
      </c>
    </row>
    <row r="8">
      <c r="A8" t="str">
        <v>حسن عزالدين مبروك</v>
      </c>
      <c r="B8" t="str">
        <v>معلم صف ثالث</v>
      </c>
      <c r="C8" t="str">
        <v>24</v>
      </c>
      <c r="D8" t="str">
        <v>(١٤) لغتي ص٣ فصلين(2/4 ، 3/4) + (١٠) اسلاميات ص٣ فصلين +(٢) مهارات حياتية ص٣ فصلين</v>
      </c>
      <c r="E8" t="str">
        <v>24</v>
      </c>
    </row>
    <row r="9">
      <c r="A9" t="str">
        <v>سلمان حمد الفراج</v>
      </c>
      <c r="B9" t="str">
        <v>اسلاميات</v>
      </c>
      <c r="C9" t="str">
        <v>24</v>
      </c>
      <c r="D9" t="str">
        <v>(١٢) اسلاميات ص٤ فصلين (2/4 ،3/4)+ (٨) اسلاميات ص٥+ (٤) اسلاميات ص٦ فصلين</v>
      </c>
      <c r="E9" t="str">
        <v>24</v>
      </c>
    </row>
    <row r="10">
      <c r="A10" t="str">
        <v>محمد الغباشي</v>
      </c>
      <c r="B10" t="str">
        <v>لغة عربية</v>
      </c>
      <c r="C10" t="str">
        <v>25</v>
      </c>
      <c r="D10" t="str">
        <v>(٥) لغتي ص 4 فصل(2/4) + (١٠) لغتي ص٥ فصلين +(١٠) لغتي ص٦ فصلين</v>
      </c>
      <c r="E10" t="str">
        <v>25</v>
      </c>
    </row>
    <row r="11">
      <c r="A11" t="str">
        <v>طارق عبدالظاهر</v>
      </c>
      <c r="B11" t="str">
        <v>رياضيات</v>
      </c>
      <c r="C11" t="str">
        <v>24</v>
      </c>
      <c r="D11" t="str">
        <v>(18) رياضيات ص٤ +(6) رياضيات ص٥ فصل</v>
      </c>
      <c r="E11" t="str">
        <v>24</v>
      </c>
    </row>
    <row r="12">
      <c r="A12" t="str">
        <v xml:space="preserve">احمد سالم </v>
      </c>
      <c r="B12" t="str">
        <v>رياضيات</v>
      </c>
      <c r="C12" t="str">
        <v>24</v>
      </c>
      <c r="D12" t="str">
        <v>(١٢) رياضيات ص٦ فصلين  + مسند (6) رياضيات ص5 فصل + (5) نشاط ص4 وص5 + (1) نشاط ص6 فصل</v>
      </c>
      <c r="E12" t="str">
        <v>24</v>
      </c>
    </row>
    <row r="13">
      <c r="A13" t="str">
        <v xml:space="preserve">عمرو محمد </v>
      </c>
      <c r="B13" t="str">
        <v>رياضيات</v>
      </c>
      <c r="C13" t="str">
        <v>24</v>
      </c>
      <c r="D13" t="str">
        <v xml:space="preserve">(12) رياضيات ص٢ ب فصلين+(12) رياضيات ص٣ فصلين </v>
      </c>
      <c r="E13" t="str">
        <v>24</v>
      </c>
    </row>
    <row r="14">
      <c r="A14" t="str">
        <v>ربيع عوض</v>
      </c>
      <c r="B14" t="str">
        <v>لغة انجليزية</v>
      </c>
      <c r="C14" t="str">
        <v>24</v>
      </c>
      <c r="D14" t="str">
        <v>(٦) E ص٥ + (٦) E ص٦ + (٩) E ص٤ + (2) انجليزي إثرائي ص6 + (1) نشاط ص6 فصل</v>
      </c>
      <c r="E14" t="str">
        <v>24</v>
      </c>
    </row>
    <row r="15">
      <c r="A15" t="str">
        <v>محمد السيد</v>
      </c>
      <c r="B15" t="str">
        <v>لغة انجليزية</v>
      </c>
      <c r="C15" t="str">
        <v>24</v>
      </c>
      <c r="D15" t="str">
        <v xml:space="preserve"> (٦) E ص٣ + + (٤) E اثرائي ص3  + (٦) E اثرائي ص٤ + (2) E اثرائي ص٦+ (٤) E اثراىي ص٥ +(2) انجليزي اثرائي ص2 فصل</v>
      </c>
      <c r="E15" t="str">
        <v>24</v>
      </c>
    </row>
    <row r="16">
      <c r="A16" t="str">
        <v>احمد حسنين</v>
      </c>
      <c r="B16" t="str">
        <v>لغة انجليزية</v>
      </c>
      <c r="C16" t="str">
        <v>24</v>
      </c>
      <c r="D16" t="str">
        <v>(6) E ص١+ (٤) E اثرائي ص١+ (٦) E ص٢ + (2) E اثرائي ص٢ فصل+ (4) ماث ص١ + (٢) ساينس ص١</v>
      </c>
      <c r="E16" t="str">
        <v>24</v>
      </c>
    </row>
    <row r="17">
      <c r="A17" t="str">
        <v xml:space="preserve"> ايمن محمد </v>
      </c>
      <c r="B17" t="str">
        <v>علوم</v>
      </c>
      <c r="C17" t="str">
        <v>24</v>
      </c>
      <c r="D17" t="str">
        <v>(٦) علوم ص2 فصلين+ (8) علوم ص٣ فصلين+ (٨) علوم ص4 فصلين(1/4،2/4)+ (٢) بدنية ص5 فصل (2/5)</v>
      </c>
      <c r="E17" t="str">
        <v>24</v>
      </c>
    </row>
    <row r="18">
      <c r="A18" t="str">
        <v>مصطفى عبدالتواب</v>
      </c>
      <c r="B18" t="str">
        <v>علوم</v>
      </c>
      <c r="C18" t="str">
        <v>24</v>
      </c>
      <c r="D18" t="str">
        <v>(٨) علوم ص٥  + (٨) علوم ص٦ + (٤) علوم ص٤ + (٤) اجتماعيات ص٦</v>
      </c>
      <c r="E18" t="str">
        <v>24</v>
      </c>
    </row>
    <row r="19">
      <c r="A19" t="str">
        <v>محمد إبراهيم</v>
      </c>
      <c r="B19" t="str">
        <v>لغة عربية</v>
      </c>
      <c r="C19" t="str">
        <v>24</v>
      </c>
      <c r="D19" t="str">
        <v>(١٠) لغتي ص٤ فصلين(1/4،3/4) + (٤) اسلاميات ص4 فصل(1/4) + (١٠) اجتماعيات ص٤ فصلين ص٥ فصلين</v>
      </c>
      <c r="E19" t="str">
        <v>24</v>
      </c>
    </row>
    <row r="20">
      <c r="A20" t="str">
        <v>رامي يسن معروف</v>
      </c>
      <c r="B20" t="str">
        <v>فنية</v>
      </c>
      <c r="C20" t="str">
        <v>24</v>
      </c>
      <c r="D20" t="str">
        <v>(٤) فنية ص٢+ (٤) فنية ص٣ + (٣) فنية ص٤ + (٢) فنية ص٥ + (٢) فنية ص٦ + (٩) مهارات حياتية ص٢، ص٤، ص٥، ص٦</v>
      </c>
      <c r="E20" t="str">
        <v>24</v>
      </c>
    </row>
    <row r="21">
      <c r="A21" t="str">
        <v>محمود وحش</v>
      </c>
      <c r="B21" t="str">
        <v>بدنية</v>
      </c>
      <c r="C21" t="str">
        <v>24</v>
      </c>
      <c r="D21" t="str">
        <v>(6) بدنية ص٣ + (٦) بدنية ص٤ + (6) بدنية ص٢  + (2) بدنية ص٥ +  (4) بدنية ص6</v>
      </c>
      <c r="E21" t="str">
        <v>24</v>
      </c>
    </row>
    <row r="22">
      <c r="A22" t="str">
        <v>آمير جلال</v>
      </c>
      <c r="B22" t="str">
        <v>رقمية</v>
      </c>
      <c r="C22" t="str">
        <v>24</v>
      </c>
      <c r="D22" t="str">
        <v xml:space="preserve">(2) رقمية ص١+ (٤) رقمية ص٢+ (٤) رقمية ص٣ + (٦) رقمية ص٤ + (٤) رقمية ص٥ + (٤) رقمية ص٦ </v>
      </c>
      <c r="E22" t="str">
        <v>24</v>
      </c>
    </row>
    <row r="23" xml:space="preserve">
      <c r="A23" t="str">
        <v>إجمالي الحصص</v>
      </c>
      <c r="B23" t="str">
        <v>396</v>
      </c>
      <c r="C23" t="str">
        <v>433</v>
      </c>
      <c r="D23" t="str" xml:space="preserve">
        <v xml:space="preserve">اضافة عدد (٣٨) حصة اثرائي لغة انجليزية + (١٢) اثرائي رقمية صفوف أولية فيصبح مجموع الحصص الاثرائية (٥٠) حصة _x000d_
تخفيض (١) حصة فنية الصف الاول باجمالي (٢) حصة_x000d_
تخفيض (١) حصة بدنية الصف الاول باجمالي (٢) حصة_x000d_
تخفيض (١) حصة اسلاميات الصف الاول باجمالي (٢) حصة_x000d_
تخفيض (١) حصة اسلاميات صفوف عليا باجمالي (٧) حصص_x000d_
تخفيض حصة رقمية صف 1_x000d_
استبدال  (٣٢) حصة نشاط  مع الحصص الاثرائية _x000d_
(٥٠) - (٣٢) = (١٨) حصة </v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>اسنادات متوسط دار القلم الفصل الاول 1447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المعلم</v>
      </c>
      <c r="B27" t="str">
        <v>المادة</v>
      </c>
      <c r="C27" t="str">
        <v>عدد حصص المعلم بالمدرسة</v>
      </c>
      <c r="D27" t="str">
        <v>الإسناد</v>
      </c>
      <c r="E27" t="str">
        <v>إجمالي نصاب المعلم</v>
      </c>
    </row>
    <row r="28">
      <c r="A28" t="str">
        <v>فواز المطيري</v>
      </c>
      <c r="B28" t="str">
        <v>اسلاميات</v>
      </c>
      <c r="C28" t="str">
        <v>25</v>
      </c>
      <c r="D28" t="str">
        <v xml:space="preserve"> (5) اسلاميات ص1 فصل 1/1 +(10) اسلاميات ص2 فصلين 2/1 - 2/2 + (10) اسلاميات ص 3 فصل 3/1 - 3/2 </v>
      </c>
      <c r="E28" t="str">
        <v>25</v>
      </c>
    </row>
    <row r="29">
      <c r="A29" t="str">
        <v>احمد صوفي</v>
      </c>
      <c r="B29" t="str">
        <v>لغة عربية</v>
      </c>
      <c r="C29" t="str">
        <v>26</v>
      </c>
      <c r="D29" t="str">
        <v xml:space="preserve"> (15) لغتي ص1 متوسط   +  (٥) اسلاميات ص2  فصل 2/3  +(6) تفكير ناقد متوسط ص٣</v>
      </c>
      <c r="E29" t="str">
        <v>26</v>
      </c>
    </row>
    <row r="30">
      <c r="A30" t="str">
        <v>محمد سمير</v>
      </c>
      <c r="B30" t="str">
        <v>لغة عربية</v>
      </c>
      <c r="C30" t="str">
        <v>27</v>
      </c>
      <c r="D30" t="str">
        <v xml:space="preserve">(15) لغتي ص2 م + (12 ) لغتي ص 3 </v>
      </c>
      <c r="E30" t="str">
        <v>27</v>
      </c>
    </row>
    <row r="31">
      <c r="A31" t="str">
        <v>ماهر الحربي</v>
      </c>
      <c r="B31" t="str">
        <v>رياضيات</v>
      </c>
      <c r="C31" t="str">
        <v>24</v>
      </c>
      <c r="D31" t="str">
        <v>(18) رياضيات ص١+ (6) رياضيات ص2م فصل 2/3</v>
      </c>
      <c r="E31" t="str">
        <v>30</v>
      </c>
    </row>
    <row r="32">
      <c r="A32" t="str">
        <v>حسن السيد</v>
      </c>
      <c r="B32" t="str">
        <v>رياضيات</v>
      </c>
      <c r="C32" t="str">
        <v>30</v>
      </c>
      <c r="D32" t="str">
        <v>(18) رياضيات ص3م  + (6) رياضيات ص2م فصل 2/2 - 2/3</v>
      </c>
      <c r="E32" t="str">
        <v>24</v>
      </c>
    </row>
    <row r="33">
      <c r="A33" t="str">
        <v xml:space="preserve">سلمان الصادق </v>
      </c>
      <c r="B33" t="str">
        <v>لغة انجليزية</v>
      </c>
      <c r="C33" t="str">
        <v>24</v>
      </c>
      <c r="D33" t="str">
        <v xml:space="preserve">(12) انجليزي ص٢متوسط +(12) انجليزي ص٣ متوسط  </v>
      </c>
      <c r="E33" t="str">
        <v>24</v>
      </c>
    </row>
    <row r="34">
      <c r="A34" t="str">
        <v>مصطفى فتحي</v>
      </c>
      <c r="B34" t="str">
        <v>لغة انجليزية</v>
      </c>
      <c r="C34" t="str">
        <v>12</v>
      </c>
      <c r="D34" t="str">
        <v xml:space="preserve"> (١٢) انجليزي ص١ متوسط + مكمل (١٢) حصة بالثانوي </v>
      </c>
      <c r="E34" t="str">
        <v>24</v>
      </c>
    </row>
    <row r="35">
      <c r="A35" t="str">
        <v>فارس الجندي</v>
      </c>
      <c r="B35" t="str">
        <v>علوم</v>
      </c>
      <c r="C35" t="str">
        <v>24</v>
      </c>
      <c r="D35" t="str">
        <v xml:space="preserve">(12) علوم ص١ +(12) علوم ص٢ </v>
      </c>
      <c r="E35" t="str">
        <v>24</v>
      </c>
    </row>
    <row r="36">
      <c r="A36" t="str">
        <v xml:space="preserve">محمد العشماوي </v>
      </c>
      <c r="B36" t="str">
        <v>علوم</v>
      </c>
      <c r="C36" t="str">
        <v>27</v>
      </c>
      <c r="D36" t="str">
        <v>(12) علوم ص٣ +(10) اسلاميات ص1 فصل 1/2 - 1/3 + ( 5 ) اسلاميات  صف 3 فصل 3/3</v>
      </c>
      <c r="E36" t="str">
        <v>27</v>
      </c>
    </row>
    <row r="37">
      <c r="A37" t="str">
        <v>عبدالعزيز الربيعان</v>
      </c>
      <c r="B37" t="str">
        <v>اجتماعيات</v>
      </c>
      <c r="C37" t="str">
        <v>24</v>
      </c>
      <c r="D37" t="str">
        <v xml:space="preserve">(24) اجتماعيات (9) ص١ + (9 ) ص٢ +( 6 ) ص٣ متوسط   </v>
      </c>
      <c r="E37" t="str">
        <v>24</v>
      </c>
    </row>
    <row r="38">
      <c r="A38" t="str">
        <v>محمود صابر</v>
      </c>
      <c r="B38" t="str">
        <v>فنية</v>
      </c>
      <c r="C38" t="str">
        <v>27</v>
      </c>
      <c r="D38" t="str">
        <v xml:space="preserve">(18) فنية ص١ ص٢ ص٣ + (9) حياتية ص١ + ص2 + ص3 فصل </v>
      </c>
      <c r="E38" t="str">
        <v>27</v>
      </c>
    </row>
    <row r="39">
      <c r="A39" t="str">
        <v>حسين عويضة (مكمل مكرر من الثانوي)</v>
      </c>
      <c r="B39" t="str">
        <v>بدنية</v>
      </c>
      <c r="C39" t="str">
        <v>12</v>
      </c>
      <c r="D39" t="str">
        <v>( 6) بدنية ص2 متوسط +  (6) بدنية ص٣ متوسط + مكمل (١٣) حصة بالثانوي</v>
      </c>
      <c r="E39" t="str">
        <v>25</v>
      </c>
    </row>
    <row r="40">
      <c r="A40" t="str">
        <v>محمد عبد الله (مكمل مكرر من الثانوي)</v>
      </c>
      <c r="B40" t="str">
        <v>رقمية</v>
      </c>
      <c r="C40" t="str">
        <v>8</v>
      </c>
      <c r="D40" t="str">
        <v>(6) رقمية  ص٣ متوسط+ (2) رقمية  ص٢ متوسط فصل 3 + مكمل (١٨) حصة بالثانوي</v>
      </c>
      <c r="E40" t="str">
        <v>26</v>
      </c>
    </row>
    <row r="41">
      <c r="A41" t="str">
        <v xml:space="preserve">محمود جمعه </v>
      </c>
      <c r="B41" t="str">
        <v>رقمية</v>
      </c>
      <c r="C41" t="str">
        <v>25</v>
      </c>
      <c r="D41" t="str">
        <v>(٦) رقمية  ص١متوسط +(4) رقمية  ص٢ متوسط فصل 1  + فصل 2  + ( 6) بدنية ص1 متوسط + (3) نشاط ص1 + (3) نشاط ص 3 + (3) نشاط ص2</v>
      </c>
      <c r="E41" t="str">
        <v>25</v>
      </c>
    </row>
    <row r="42">
      <c r="A42" t="str">
        <v/>
      </c>
      <c r="B42" t="str">
        <v/>
      </c>
      <c r="C42" t="str">
        <v>315</v>
      </c>
      <c r="D42" t="str">
        <v/>
      </c>
      <c r="E42" t="str">
        <v>358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</row>
    <row r="44">
      <c r="A44" t="str">
        <v>اسنادات ثانوية دار القلم الفصل الدراسي الأول 1447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</row>
    <row r="46">
      <c r="A46" t="str">
        <v>المعلم</v>
      </c>
      <c r="B46" t="str">
        <v>المادة</v>
      </c>
      <c r="C46" t="str">
        <v>عدد حصص المعلم بالمدرسة</v>
      </c>
      <c r="D46" t="str">
        <v>الإسناد</v>
      </c>
      <c r="E46" t="str">
        <v>عدد حصص المعلم بالمدرسة</v>
      </c>
    </row>
    <row r="47">
      <c r="A47" t="str">
        <v>احمد نصر</v>
      </c>
      <c r="B47" t="str">
        <v xml:space="preserve">لغة عربية </v>
      </c>
      <c r="C47" t="str">
        <v>24</v>
      </c>
      <c r="D47" t="str">
        <v>20 كفايات 1ث من 6:2 +4 كفايات 2ث 7</v>
      </c>
      <c r="E47" t="str">
        <v>24</v>
      </c>
    </row>
    <row r="48">
      <c r="A48" t="str">
        <v xml:space="preserve">هشام رسمي </v>
      </c>
      <c r="B48" t="str">
        <v xml:space="preserve">لغة عربية </v>
      </c>
      <c r="C48" t="str">
        <v>27</v>
      </c>
      <c r="D48" t="str">
        <v xml:space="preserve">24 حصة كفايات  2ث 6فصول من 6:1+ 3 حصص 2-ث نون </v>
      </c>
      <c r="E48" t="str">
        <v>27</v>
      </c>
    </row>
    <row r="49">
      <c r="A49" t="str">
        <v xml:space="preserve">حسن الخطيب </v>
      </c>
      <c r="B49" t="str">
        <v xml:space="preserve">لغة عربية </v>
      </c>
      <c r="C49" t="str">
        <v>24</v>
      </c>
      <c r="D49" t="str">
        <v>14 مهارا ت بحث 3 ث كامل + 6 كفايات 1ث نون  +4 كفايات 1ث 1</v>
      </c>
      <c r="E49" t="str">
        <v>24</v>
      </c>
    </row>
    <row r="50">
      <c r="A50" t="str">
        <v xml:space="preserve">عبد العزيز الربيعان </v>
      </c>
      <c r="B50" t="str">
        <v xml:space="preserve">لغة عربية </v>
      </c>
      <c r="C50" t="str">
        <v>26</v>
      </c>
      <c r="D50" t="str">
        <v>21 تاريخ 2ث كامل+2 تاريخ 2ث نون +3 تفسير 1ث2 نون</v>
      </c>
      <c r="E50" t="str">
        <v>26</v>
      </c>
    </row>
    <row r="51">
      <c r="A51" t="str">
        <v>خالد المطيري</v>
      </c>
      <c r="B51" t="str">
        <v xml:space="preserve">اسلاميات </v>
      </c>
      <c r="C51" t="str">
        <v>27</v>
      </c>
      <c r="D51" t="str">
        <v xml:space="preserve">24 تفسير وقران 1ث كامل + 3 تفسير 1ث1 نون </v>
      </c>
      <c r="E51" t="str">
        <v>27</v>
      </c>
    </row>
    <row r="52">
      <c r="A52" t="str">
        <v xml:space="preserve">حسام السيد </v>
      </c>
      <c r="B52" t="str">
        <v xml:space="preserve">رياضيات </v>
      </c>
      <c r="C52" t="str">
        <v>28</v>
      </c>
      <c r="D52" t="str">
        <v xml:space="preserve">20 صف2ث 4 فصول 4:1+4 نون صف2ث + 4 صف3ث1 </v>
      </c>
      <c r="E52" t="str">
        <v>28</v>
      </c>
    </row>
    <row r="53">
      <c r="A53" t="str">
        <v xml:space="preserve">محمد سليم </v>
      </c>
      <c r="B53" t="str">
        <v xml:space="preserve">رياضيات </v>
      </c>
      <c r="C53" t="str">
        <v>28</v>
      </c>
      <c r="D53" t="str">
        <v>20صف 3ث من 6:2 +8 حصص 1 ث نون 1-2</v>
      </c>
      <c r="E53" t="str">
        <v>28</v>
      </c>
    </row>
    <row r="54">
      <c r="A54" t="str">
        <v xml:space="preserve">وليد الصدة </v>
      </c>
      <c r="B54" t="str">
        <v xml:space="preserve">رياضيات </v>
      </c>
      <c r="C54" t="str">
        <v>24</v>
      </c>
      <c r="D54" t="str">
        <v xml:space="preserve">20 1ث  4 فصول من4:1+ 4 حصص 3ث7 </v>
      </c>
      <c r="E54" t="str">
        <v>24</v>
      </c>
    </row>
    <row r="55">
      <c r="A55" t="str">
        <v>وسيم عبد ربه</v>
      </c>
      <c r="B55" t="str">
        <v xml:space="preserve">رياضيات </v>
      </c>
      <c r="C55" t="str">
        <v>25</v>
      </c>
      <c r="D55" t="str">
        <v>10 صف 1ث  6:5+ 15 صف 2ث من 7:5</v>
      </c>
      <c r="E55" t="str">
        <v>25</v>
      </c>
    </row>
    <row r="56">
      <c r="A56" t="str">
        <v xml:space="preserve">أحمد طاهر بهيدي </v>
      </c>
      <c r="B56" t="str">
        <v xml:space="preserve">كيمياء </v>
      </c>
      <c r="C56" t="str">
        <v>27</v>
      </c>
      <c r="D56" t="str">
        <v>18 صف 1ث كامل + 6 حصص 1 ث نون 2:1 + 3 علم أرض 3ث7</v>
      </c>
      <c r="E56" t="str">
        <v>27</v>
      </c>
    </row>
    <row r="57">
      <c r="A57" t="str">
        <v xml:space="preserve">أحمد محمد مصباح </v>
      </c>
      <c r="B57" t="str">
        <v xml:space="preserve">كيمياء </v>
      </c>
      <c r="C57" t="str">
        <v>25</v>
      </c>
      <c r="D57" t="str">
        <v>25 حصة صف2 ث من 5:1</v>
      </c>
      <c r="E57" t="str">
        <v>25</v>
      </c>
    </row>
    <row r="58">
      <c r="A58" t="str">
        <v>محمد متولي</v>
      </c>
      <c r="B58" t="str">
        <v xml:space="preserve">كيمياء </v>
      </c>
      <c r="C58" t="str">
        <v>26</v>
      </c>
      <c r="D58" t="str">
        <v>21 صف 3 ث كامل + 5 حصص 2 ث نون</v>
      </c>
      <c r="E58" t="str">
        <v>26</v>
      </c>
    </row>
    <row r="59">
      <c r="A59" t="str">
        <v>حسن جوده</v>
      </c>
      <c r="B59" t="str">
        <v>كيمياء - فيزياء</v>
      </c>
      <c r="C59" t="str">
        <v>25</v>
      </c>
      <c r="D59" t="str">
        <v>10كيمياء  صف 2ث 7:6+15فيزياء  صف 3ث 3:1</v>
      </c>
      <c r="E59" t="str">
        <v>25</v>
      </c>
    </row>
    <row r="60">
      <c r="A60" t="str">
        <v>فريج السعيد</v>
      </c>
      <c r="B60" t="str">
        <v xml:space="preserve">فيزياء </v>
      </c>
      <c r="C60" t="str">
        <v>24</v>
      </c>
      <c r="D60" t="str">
        <v xml:space="preserve"> 20صف 3ث 7:4 + 4 حصص 2 ث7</v>
      </c>
      <c r="E60" t="str">
        <v>24</v>
      </c>
    </row>
    <row r="61">
      <c r="A61" t="str">
        <v xml:space="preserve">سلمان محمد </v>
      </c>
      <c r="B61" t="str">
        <v xml:space="preserve">فيزياء </v>
      </c>
      <c r="C61" t="str">
        <v>28</v>
      </c>
      <c r="D61" t="str">
        <v xml:space="preserve">24 حصة صف2 ث 6 فصول 6:1 + 4 حصص 2ث نون </v>
      </c>
      <c r="E61" t="str">
        <v>28</v>
      </c>
    </row>
    <row r="62">
      <c r="A62" t="str">
        <v xml:space="preserve">محمد عبد المنعم </v>
      </c>
      <c r="B62" t="str">
        <v xml:space="preserve">أحياء </v>
      </c>
      <c r="C62" t="str">
        <v>27</v>
      </c>
      <c r="D62" t="str">
        <v>18 صف 1ث كامل + 3 علم ارض ص ثالث6 +6 حصص 1 ث نون 1و2</v>
      </c>
      <c r="E62" t="str">
        <v>27</v>
      </c>
    </row>
    <row r="63">
      <c r="A63" t="str">
        <v>حسن ابوغنيمة</v>
      </c>
      <c r="B63" t="str">
        <v xml:space="preserve">أحياء </v>
      </c>
      <c r="C63" t="str">
        <v>20</v>
      </c>
      <c r="D63" t="str">
        <v>20 حصة 2ث 4:1+4أحياء  2ث نون+ مسند له كلاسيرا</v>
      </c>
      <c r="E63" t="str">
        <v>20</v>
      </c>
    </row>
    <row r="64">
      <c r="A64" t="str">
        <v>محمد علي</v>
      </c>
      <c r="B64" t="str">
        <v xml:space="preserve">أحياء </v>
      </c>
      <c r="C64" t="str">
        <v>27</v>
      </c>
      <c r="D64" t="str">
        <v>15 علم أرض 3ث من 5:3 + 12 أحياءص2ث 7:5</v>
      </c>
      <c r="E64" t="str">
        <v>27</v>
      </c>
    </row>
    <row r="65">
      <c r="A65" t="str">
        <v xml:space="preserve">مصطفى محمد </v>
      </c>
      <c r="B65" t="str">
        <v xml:space="preserve">لغة انجليزية </v>
      </c>
      <c r="C65" t="str">
        <v>26</v>
      </c>
      <c r="D65" t="str">
        <v>24حصة اث كامل + 2 حصة 1ث نون 1</v>
      </c>
      <c r="E65" t="str">
        <v>26</v>
      </c>
    </row>
    <row r="66">
      <c r="A66" t="str">
        <v xml:space="preserve">عبد الرحمن شطا </v>
      </c>
      <c r="B66" t="str">
        <v xml:space="preserve">لغة انجليزية </v>
      </c>
      <c r="C66" t="str">
        <v>25</v>
      </c>
      <c r="D66" t="str">
        <v>20حصة 2 ث من5:1+ 4 حصص 3ث1+ 1 حصة نون 2ث</v>
      </c>
      <c r="E66" t="str">
        <v>25</v>
      </c>
    </row>
    <row r="67">
      <c r="A67" t="str">
        <v xml:space="preserve">مصطفى فتحي (مكرر مكمل من المتوسط) </v>
      </c>
      <c r="B67" t="str">
        <v xml:space="preserve">لغة انجليزية </v>
      </c>
      <c r="C67" t="str">
        <v>12</v>
      </c>
      <c r="D67" t="str">
        <v>8 حصص 2 ث 6 و7 + 4 تفكير ناقد صف 1ث نون 1و2 + مكمل (١٢) حصة بالمتوسط</v>
      </c>
      <c r="E67" t="str">
        <v>24</v>
      </c>
    </row>
    <row r="68">
      <c r="A68" t="str">
        <v>إبراهيم شبكة</v>
      </c>
      <c r="B68" t="str">
        <v xml:space="preserve">لغة انجليزية </v>
      </c>
      <c r="C68" t="str">
        <v>24</v>
      </c>
      <c r="D68" t="str">
        <v>24 حصة صف 3ث 7:2</v>
      </c>
      <c r="E68" t="str">
        <v>24</v>
      </c>
    </row>
    <row r="69">
      <c r="A69" t="str">
        <v>احمد توفيق</v>
      </c>
      <c r="B69" t="str">
        <v>تقنية -حاسب</v>
      </c>
      <c r="C69" t="str">
        <v>24</v>
      </c>
      <c r="D69" t="str">
        <v>20 حصة مجال صف 3 ث 5:1+ 4 حصص 1ث نون تقنية 1و2</v>
      </c>
      <c r="E69" t="str">
        <v>24</v>
      </c>
    </row>
    <row r="70">
      <c r="A70" t="str">
        <v xml:space="preserve">محمد مدحت </v>
      </c>
      <c r="B70" t="str">
        <v>تقنية -حاسب</v>
      </c>
      <c r="C70" t="str">
        <v>24</v>
      </c>
      <c r="D70" t="str">
        <v xml:space="preserve">18 حصة 1ث كامل  + 6تفكير ناقد 1ث </v>
      </c>
      <c r="E70" t="str">
        <v>24</v>
      </c>
    </row>
    <row r="71">
      <c r="A71" t="str">
        <v xml:space="preserve">محمد صلاح </v>
      </c>
      <c r="B71" t="str">
        <v xml:space="preserve">بدنية </v>
      </c>
      <c r="C71" t="str">
        <v>28</v>
      </c>
      <c r="D71" t="str">
        <v>12حصة 1ث كامل+12بدنية 3ث من  4:1 + 4 صف اول نون 1و2</v>
      </c>
      <c r="E71" t="str">
        <v>28</v>
      </c>
    </row>
    <row r="72">
      <c r="A72" t="str">
        <v xml:space="preserve">حسين عويضة </v>
      </c>
      <c r="B72" t="str">
        <v xml:space="preserve">بدنية </v>
      </c>
      <c r="C72" t="str">
        <v>13</v>
      </c>
      <c r="D72" t="str">
        <v>9بدنية 3ث 7:5 + 8 مجال اختياري 3ث6 (م بالمتوسط بعد الفسحة) + مكمل (١٢) حصة بالمتوسط</v>
      </c>
      <c r="E72" t="str">
        <v>25</v>
      </c>
    </row>
    <row r="73">
      <c r="A73" t="str">
        <v xml:space="preserve">عيد العتيبي + (م .اداري)   </v>
      </c>
      <c r="B73" t="str">
        <v xml:space="preserve">علم نفس </v>
      </c>
      <c r="C73" t="str">
        <v>13</v>
      </c>
      <c r="D73" t="str">
        <v xml:space="preserve"> 6 تفكير ناقد 1ث+ 7 نشاط 2ث + مكمل مراقب دور</v>
      </c>
      <c r="E73" t="str">
        <v>13</v>
      </c>
    </row>
    <row r="74">
      <c r="A74" t="str">
        <v>محمد عبد الله</v>
      </c>
      <c r="B74" t="str">
        <v>تقنية -حاسب</v>
      </c>
      <c r="C74" t="str">
        <v>18</v>
      </c>
      <c r="D74" t="str">
        <v>14 تقنية 3ث كامل + 4 مجال صف 3 ث 7+ مكمل (٨) حصص بالمتوسط</v>
      </c>
      <c r="E74" t="str">
        <v>26</v>
      </c>
    </row>
    <row r="75" xml:space="preserve">
      <c r="A75" t="str">
        <v>إجمالي الحصص</v>
      </c>
      <c r="B75" t="str">
        <v/>
      </c>
      <c r="C75" t="str">
        <v/>
      </c>
      <c r="D75" t="str" xml:space="preserve">
        <v xml:space="preserve">تخفيض حصة من اللغة الإنجليزية أول ثانوي_x000d_
تخفيض حصة من اللغة الإنجليزيةوثان _x000d_
تخفيض حصة تفكير ناقد أول ثانوي _x000d_
تخفيض حصة نشاط صف ثان ثانوي_x000d_
تخفيض حصة نشاط صف ثالث ثانوي _x000d_
تخفيض حصة مجال صف ثالث ثانوي _x000d_
عليه خروج جميع طلاب المدرسة بعد الحصة السادسة يوميا 11:50( بواقع تخفيض حصتين من كل فصل ) </v>
      </c>
      <c r="E75" t="str">
        <v/>
      </c>
    </row>
  </sheetData>
  <mergeCells count="3">
    <mergeCell ref="B2:D2"/>
    <mergeCell ref="A25:E25"/>
    <mergeCell ref="A44:E44"/>
  </mergeCells>
  <ignoredErrors>
    <ignoredError numberStoredAsText="1" sqref="A1:E7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52"/>
  <sheetViews>
    <sheetView workbookViewId="0" rightToLeft="1"/>
  </sheetViews>
  <sheetData>
    <row r="1">
      <c r="A1" t="str">
        <v>اسنادات الابتدائي</v>
      </c>
    </row>
    <row r="2">
      <c r="A2" t="str">
        <v>المعلم</v>
      </c>
      <c r="B2" t="str">
        <v>المادة</v>
      </c>
      <c r="C2" t="str">
        <v xml:space="preserve">عدد حصص المعلم بالمرحلة </v>
      </c>
      <c r="D2" t="str">
        <v>ملاحظات</v>
      </c>
      <c r="E2" t="str">
        <v>إجمالي نصاب المعلم بعد الاكمال</v>
      </c>
    </row>
    <row r="4">
      <c r="A4" t="str">
        <v xml:space="preserve">نورا مجدي </v>
      </c>
      <c r="B4" t="str">
        <v>انجليزي</v>
      </c>
      <c r="C4">
        <v>24</v>
      </c>
      <c r="D4" t="str">
        <v>(3) انجليزي وزاري ص1 ( 2) انجليزي اثرائي ص1 (1) ماث ص1 ( 1) ساينس ص1 ( 3) انجليزي وزاري ص2 (2) انجليزي اثرائي ص2 (6) انجليزي وزاري ص3 (4)انجليزي اثرائي ص3 (2) نشاط ص5</v>
      </c>
      <c r="E4">
        <v>24</v>
      </c>
    </row>
    <row r="5">
      <c r="A5" t="str">
        <v xml:space="preserve">سارة المخلفي </v>
      </c>
      <c r="B5" t="str">
        <v>إسلامية</v>
      </c>
      <c r="C5">
        <v>24</v>
      </c>
      <c r="D5" t="str">
        <v>(10)اسلاميةص3(5)اسلاميةص4(5)إسلامية ص5(2)اجتماعيات ص5(2)نشاط ص4 + منسقة تطوع ابتدائي ومتوسط</v>
      </c>
      <c r="E5">
        <v>24</v>
      </c>
    </row>
    <row r="6">
      <c r="A6" t="str">
        <v>نوير الشمري ( مكرر مكمل من الثانوي)</v>
      </c>
      <c r="B6" t="str">
        <v>حاسب</v>
      </c>
      <c r="C6">
        <v>8</v>
      </c>
      <c r="D6" t="str">
        <v>(2) رقمية ص2 (2)رقمية ص4(2)رقمية ص5(2) رقمية ص6 + مسند (٦) حصص بالمتوسط + (10) حصة بالثانوي</v>
      </c>
      <c r="E6">
        <v>24</v>
      </c>
    </row>
    <row r="7">
      <c r="A7" t="str">
        <v>نهال الشبرمي ( مكرر مكمل من المتوسط)</v>
      </c>
      <c r="B7" t="str">
        <v>إسلامية</v>
      </c>
      <c r="C7">
        <v>7</v>
      </c>
      <c r="D7" t="str">
        <v>(2) بدنية ص6 (5) إسلامية ص6 + مسند (13) حصة بالمتوسط + (4) رقمية kg + منسقة الصيانة والمشتريات</v>
      </c>
      <c r="E7">
        <v>24</v>
      </c>
    </row>
    <row r="8">
      <c r="A8" t="str">
        <v xml:space="preserve">نوضا المطيري </v>
      </c>
      <c r="B8" t="str">
        <v>رياضيات</v>
      </c>
      <c r="C8">
        <v>24</v>
      </c>
      <c r="D8" t="str">
        <v>(4)رياضيات ص1(3) علوم ص1 (3) علوم ص2 (6) رياضيات ص4 (2)اجتماعايت ص4 (1) اسرية ص4(1) نشاط ص3 فصل(4) رقمية ص3</v>
      </c>
      <c r="E8">
        <v>24</v>
      </c>
    </row>
    <row r="9">
      <c r="A9" t="str">
        <v>الجوهرة المخلفي  ( مكرر مكمل من المتوسط)</v>
      </c>
      <c r="B9" t="str">
        <v>لغة عربية</v>
      </c>
      <c r="C9">
        <v>7</v>
      </c>
      <c r="D9" t="str">
        <v>(5) لغتي ص6 (2) اجتماعيات ص6 + (17) حصة بالمتوسط + منسقة اختبارات مركزية</v>
      </c>
      <c r="E9">
        <v>24</v>
      </c>
    </row>
    <row r="10">
      <c r="A10" t="str">
        <v>حنان العنزي (مكرر مكمل من متوسط )</v>
      </c>
      <c r="B10" t="str">
        <v>انجليزي</v>
      </c>
      <c r="C10">
        <v>3</v>
      </c>
      <c r="D10" t="str">
        <v>(3) بدنية ص1 + مسند لها ( 11 ) متوسط + (11) ثانوي + منسقة اختبارات steep</v>
      </c>
      <c r="E10">
        <v>25</v>
      </c>
    </row>
    <row r="11">
      <c r="A11" t="str">
        <v>أشواق العنزي</v>
      </c>
      <c r="B11" t="str">
        <v xml:space="preserve"> لغة عربية</v>
      </c>
      <c r="C11">
        <v>25</v>
      </c>
      <c r="D11" t="str">
        <v>(8)لغتي ص1 (7)لغتي ص2 (5) إسلامية ص1(5) إسلامية ص2</v>
      </c>
      <c r="E11">
        <v>25</v>
      </c>
    </row>
    <row r="12">
      <c r="A12" t="str">
        <v>ناهد بعزقي</v>
      </c>
      <c r="B12" t="str">
        <v xml:space="preserve"> لغة عربية</v>
      </c>
      <c r="C12">
        <v>24</v>
      </c>
      <c r="D12" t="str">
        <v>(12) لغتي ص3 (5)لغتي ص4 (5) لغتي ص5 (1)اسرية ص5 (1) نشاط ص 3فصل</v>
      </c>
      <c r="E12">
        <v>24</v>
      </c>
    </row>
    <row r="13">
      <c r="A13" t="str">
        <v>نوف الزلفي</v>
      </c>
      <c r="B13" t="str">
        <v>رياضيات</v>
      </c>
      <c r="C13">
        <v>24</v>
      </c>
      <c r="D13" t="str">
        <v>(6)رياضيات ص2 (12) رياضيات ص3 (6) بدنية ص3 + معلمة موهبة</v>
      </c>
      <c r="E13">
        <v>24</v>
      </c>
    </row>
    <row r="14">
      <c r="A14" t="str">
        <v>نور العيدة ( مكرر مكمل من الثانوي)</v>
      </c>
      <c r="B14" t="str">
        <v>رياضيات</v>
      </c>
      <c r="C14">
        <v>6</v>
      </c>
      <c r="D14" t="str">
        <v xml:space="preserve"> ( 6 )  رياضيات ص6 + مسند ( 18) ثانوي + منسقة قدرات وتحصيلي</v>
      </c>
      <c r="E14">
        <v>24</v>
      </c>
    </row>
    <row r="15">
      <c r="A15" t="str">
        <v>هدى المطيري ( مكرر مكمل من الثانوي)</v>
      </c>
      <c r="B15" t="str">
        <v>كيمياء</v>
      </c>
      <c r="C15">
        <v>2</v>
      </c>
      <c r="D15" t="str">
        <v>(2) بدنية ص5 + مسند ( 23) ثانوي</v>
      </c>
      <c r="E15">
        <v>25</v>
      </c>
    </row>
    <row r="16">
      <c r="A16" t="str">
        <v>سلطانة العتيبي ( مكرر مكمل من الثانوي)</v>
      </c>
      <c r="B16" t="str">
        <v>فيزياء</v>
      </c>
      <c r="C16">
        <v>1</v>
      </c>
      <c r="D16" t="str">
        <v>(1) اسرية ص6 + ( 18 ) ثانوي + ( 5) متوسط</v>
      </c>
      <c r="E16">
        <v>24</v>
      </c>
    </row>
    <row r="17">
      <c r="A17" t="str">
        <v>نوف العتيبي ( مكرر مكمل من الثانوي )</v>
      </c>
      <c r="B17" t="str">
        <v>لغة عربية</v>
      </c>
      <c r="C17">
        <v>2</v>
      </c>
      <c r="D17" t="str">
        <v>(2) رقمية ص1 + (22) مسند ثانوي</v>
      </c>
      <c r="E17">
        <v>24</v>
      </c>
    </row>
    <row r="18">
      <c r="A18" t="str">
        <v>بدور  البقمي  ( مكرر مكمل من المتوسط)</v>
      </c>
      <c r="B18" t="str">
        <v>رياضيات</v>
      </c>
      <c r="C18">
        <v>6</v>
      </c>
      <c r="D18" t="str">
        <v>(6)رياضيات ص5 + مسند ( 18)  متوسط</v>
      </c>
      <c r="E18">
        <v>24</v>
      </c>
    </row>
    <row r="19">
      <c r="A19" t="str">
        <v>منى الخلف</v>
      </c>
      <c r="B19" t="str">
        <v>علوم</v>
      </c>
      <c r="C19">
        <v>20</v>
      </c>
      <c r="D19" t="str">
        <v xml:space="preserve"> (8) علوم ص3 (4) علوم ص4 (4) علوم ص5  (4) علوم ص6 + مسند (4) بالمتوسط</v>
      </c>
      <c r="E19">
        <v>24</v>
      </c>
    </row>
    <row r="20">
      <c r="A20" t="str">
        <v xml:space="preserve"> عهود الرويلي </v>
      </c>
      <c r="B20" t="str">
        <v>انجليزي</v>
      </c>
      <c r="C20">
        <v>20</v>
      </c>
      <c r="D20" t="str">
        <v>(3) انجليزي وزاري ص4 ( 2) انجليزي اثرائي ص4  ( 3) انجليزي وزاري ص5 (2) انجليزي اثرائي ص5 (3) انجليزي وزاري ص6 (2)انجليزي اثرائي ص6 (3) بدنية ص2 (2) نشاط ص6 + (4) kg</v>
      </c>
      <c r="E20">
        <v>24</v>
      </c>
    </row>
    <row r="21">
      <c r="A21" t="str">
        <v xml:space="preserve">هدى البكري </v>
      </c>
      <c r="B21" t="str">
        <v>فنية</v>
      </c>
      <c r="C21">
        <v>18</v>
      </c>
      <c r="D21" t="str">
        <v>(2)فنية ص1(2) فنية ص2(4) فنية ص3(1) فنية ص4(1)فنية ص5(1) قنية ص6  (2) بدنية ص4 (1)نشاط ص2 (1) اسرية ص1(1) اسرية ص2(2)اسرية ص3+ مسند (6) حصص بالمتوسط + موجهة صحية ابتدائي</v>
      </c>
      <c r="E21">
        <v>24</v>
      </c>
    </row>
    <row r="22">
      <c r="A22" t="str">
        <v>إجمالي الحصص</v>
      </c>
      <c r="B22">
        <v>245</v>
      </c>
      <c r="C22">
        <f>SUM(C4:C21)</f>
        <v>245</v>
      </c>
      <c r="D22" t="str">
        <v>تم زيادة ( 14) حصة لتفعيل المواد الاثرائية ورفع مستوى التحصيل فأصبح إجمالي الحصص في الأسبوع 35</v>
      </c>
    </row>
    <row r="23">
      <c r="A23" t="str">
        <v>اسنادات متوسط</v>
      </c>
    </row>
    <row r="24">
      <c r="A24" t="str">
        <v>المعلم</v>
      </c>
      <c r="B24" t="str">
        <v>المادة</v>
      </c>
      <c r="C24" t="str">
        <v xml:space="preserve">عدد حصص المعلم بالمرحلة </v>
      </c>
      <c r="D24" t="str">
        <v>ملاحظات</v>
      </c>
      <c r="E24" t="str">
        <v>إجمالي نصاب المعلم بعد الاكمال</v>
      </c>
    </row>
    <row r="26">
      <c r="A26" t="str">
        <v>هدى البكري ( مكرر مكمل من ابتدائي)</v>
      </c>
      <c r="B26" t="str">
        <v>فنية</v>
      </c>
      <c r="C26">
        <v>6</v>
      </c>
      <c r="D26" t="str">
        <v>(2) فنية ص1 (2) فنية ص2 (2) فنية ص + مسند (18) حصة بالابتدائي + موجهة صحية ابتدائي</v>
      </c>
      <c r="E26">
        <v>24</v>
      </c>
    </row>
    <row r="27">
      <c r="A27" t="str">
        <v xml:space="preserve">حنان الغربي </v>
      </c>
      <c r="B27" t="str">
        <v>اجتماعيات</v>
      </c>
      <c r="C27">
        <v>11</v>
      </c>
      <c r="D27" t="str">
        <v>(3) اجتماعيات ص1 (3) اجتماعيات ص2(2) اجتماعيات ص3 (2) بدنية 3م (1) اسرية 3م + مسند (13) حصص بالثانوي + مسؤولة المقصف</v>
      </c>
      <c r="E27">
        <v>24</v>
      </c>
    </row>
    <row r="28">
      <c r="A28" t="str">
        <v>نوير الشمري    ( مكرر مكمل من الثانوي)</v>
      </c>
      <c r="B28" t="str">
        <v>حاسب</v>
      </c>
      <c r="C28">
        <v>6</v>
      </c>
      <c r="D28" t="str">
        <v>(2) رقمية ص1 (2) رقمية ص3 (2) رقمية ص3 + مسند (١0) حصص بالثانوي + (8) حصص بالابتدائي</v>
      </c>
      <c r="E28">
        <v>24</v>
      </c>
    </row>
    <row r="29">
      <c r="A29" t="str">
        <v>منى الخلف ( مكرر مكمل من الابتدائي )</v>
      </c>
      <c r="B29" t="str">
        <v>علوم</v>
      </c>
      <c r="C29">
        <v>4</v>
      </c>
      <c r="D29" t="str">
        <v>(4) علوم ص1 + مسند (20 ) ابتدائي</v>
      </c>
      <c r="E29">
        <v>24</v>
      </c>
    </row>
    <row r="30">
      <c r="A30" t="str">
        <v>بدور  البقمي</v>
      </c>
      <c r="B30" t="str">
        <v>رياضيات</v>
      </c>
      <c r="C30">
        <v>18</v>
      </c>
      <c r="D30" t="str">
        <v>(6) رياضيات ص1 (6) رياضيات ص2 (6) رياضيات ص3 + مسند لها (6) ابتدائي</v>
      </c>
      <c r="E30">
        <v>24</v>
      </c>
    </row>
    <row r="31">
      <c r="A31" t="str">
        <v>ريم الحربي ( مكرر مكمل من الثانوي)</v>
      </c>
      <c r="B31" t="str">
        <v>دين</v>
      </c>
      <c r="C31">
        <v>5</v>
      </c>
      <c r="D31" t="str">
        <v>( 5 ) إسلامية ص3 + مسند ثانوي 19 ثانوي</v>
      </c>
      <c r="E31">
        <v>24</v>
      </c>
    </row>
    <row r="32">
      <c r="A32" t="str">
        <v>اماني فهمي ( مكرر مكمل من الثانوي)</v>
      </c>
      <c r="B32" t="str">
        <v>احياء</v>
      </c>
      <c r="C32">
        <v>4</v>
      </c>
      <c r="D32" t="str">
        <v>(4) علوم ص2 + مسند لها (20) ثانوي</v>
      </c>
      <c r="E32">
        <v>24</v>
      </c>
    </row>
    <row r="33">
      <c r="A33" t="str">
        <v>سلطانة العتيبي ( مكرر مكمل من الثانوي)</v>
      </c>
      <c r="B33" t="str">
        <v>فيزياء</v>
      </c>
      <c r="C33">
        <v>5</v>
      </c>
      <c r="D33" t="str">
        <v>(4) علوم ص3 (1) نشاط ص3 + مسند لها (18 ) ثانوي + ( 1) ابتدائي + منسقة نافس</v>
      </c>
      <c r="E33">
        <v>24</v>
      </c>
    </row>
    <row r="34">
      <c r="A34" t="str">
        <v>امل العنزي ( مكرر مكمل من الثانوي)</v>
      </c>
      <c r="B34" t="str">
        <v>انجليزي</v>
      </c>
      <c r="C34">
        <v>5</v>
      </c>
      <c r="D34" t="str">
        <v>(4) انجليزي ص3 (1) أسرية ص3 + مسند (19) حصة بالثانوي + منسقة اختبارات steep</v>
      </c>
      <c r="E34">
        <v>24</v>
      </c>
    </row>
    <row r="35">
      <c r="A35" t="str">
        <v>حنان العنزي</v>
      </c>
      <c r="B35" t="str">
        <v>انجليزي</v>
      </c>
      <c r="C35">
        <v>11</v>
      </c>
      <c r="D35" t="str">
        <v>(4) انجليزي ص1(4) انجليزي ص2(1)اسرية ص2 (2) بدنية ص2+ مسند لها (11) حصة ثانوي+(3) ابتدائي</v>
      </c>
      <c r="E35">
        <v>25</v>
      </c>
    </row>
    <row r="36">
      <c r="A36" t="str">
        <v>الجوهرة المخلفي</v>
      </c>
      <c r="B36" t="str">
        <v>لغة عربية</v>
      </c>
      <c r="C36">
        <v>17</v>
      </c>
      <c r="D36" t="str">
        <v>(5) لغتي ص1 (5) لغتي ص2(4) لغتي ص3 (2) بدنية ص1 (1) نشاط ص1 + مسند (7) حصص بالابتدائي + منسقة اختبارات مركزية</v>
      </c>
      <c r="E36">
        <v>24</v>
      </c>
    </row>
    <row r="37">
      <c r="A37" t="str">
        <v>نهال الشبرمي</v>
      </c>
      <c r="B37" t="str">
        <v>إسلامية</v>
      </c>
      <c r="C37">
        <v>13</v>
      </c>
      <c r="D37" t="str">
        <v>(5) إسلامية ص1 (5) إسلامية ص2  (٢)  تفكير ناقد ص3  (1) نشاط ص2 + مسند (7) حصص بالابتدائي + (4) kg + منسقة الصيانة والمشتريات</v>
      </c>
      <c r="E37">
        <v>24</v>
      </c>
    </row>
    <row r="38">
      <c r="A38" t="str">
        <v>إجمالي الحصص</v>
      </c>
      <c r="B38">
        <v>105</v>
      </c>
      <c r="C38">
        <f>SUM(C26:C37)</f>
        <v>105</v>
      </c>
    </row>
    <row r="39">
      <c r="A39" t="str">
        <v>اسنادات ثانوي</v>
      </c>
    </row>
    <row r="40">
      <c r="A40" t="str">
        <v>المعلم</v>
      </c>
      <c r="B40" t="str">
        <v>المادة</v>
      </c>
      <c r="C40" t="str">
        <v>عدد حصص المعلم بالمدرسة</v>
      </c>
      <c r="D40" t="str">
        <v>الإسناد</v>
      </c>
      <c r="E40" t="str">
        <v>إجمالي نصاب المعلم</v>
      </c>
    </row>
    <row r="41">
      <c r="A41" t="str">
        <v>حنان الغربي ( مكرر مكمل  متوسط )</v>
      </c>
      <c r="B41" t="str">
        <v>اجتماعيات</v>
      </c>
      <c r="C41">
        <v>13</v>
      </c>
      <c r="D41" t="str">
        <v>(6) تاريخ ص2 (6) بدنية ص3 (1) نشاط ص3 فصل + مسند (11) حصص بالمتوسط + مسؤولة المقصف</v>
      </c>
      <c r="E41">
        <v>24</v>
      </c>
    </row>
    <row r="42">
      <c r="A42" t="str">
        <v xml:space="preserve">نوف العتيبي </v>
      </c>
      <c r="B42" t="str">
        <v>لغة عربية</v>
      </c>
      <c r="C42">
        <v>22</v>
      </c>
      <c r="D42" t="str">
        <v>(8) كفايات ص1(8) كفايات ص2 (4) بحث ومعلومات ص3 (2) نشاط ص2  + مسند (2) ابتدائي + أمينة مصادر</v>
      </c>
      <c r="E42">
        <v>24</v>
      </c>
    </row>
    <row r="43">
      <c r="A43" t="str">
        <v>ريم الحربي</v>
      </c>
      <c r="B43" t="str">
        <v>إسلامية</v>
      </c>
      <c r="C43">
        <v>19</v>
      </c>
      <c r="D43" t="str">
        <v>(6) تفكير ناقد ص1 (8) قرآن وتفسيره صف1 (5) مجال اختياري مهارات إدارية + مسند (5) متوسط</v>
      </c>
      <c r="E43">
        <v>24</v>
      </c>
    </row>
    <row r="44">
      <c r="A44" t="str">
        <v>سلطانة البقمي</v>
      </c>
      <c r="B44" t="str">
        <v>رياضيات</v>
      </c>
      <c r="C44">
        <v>25</v>
      </c>
      <c r="D44" t="str">
        <v xml:space="preserve">(8) رياضيات ص3 (10) رياضيات ص1 ( 4) بدنية ص1 (3) نشاط ص3 </v>
      </c>
      <c r="E44">
        <v>25</v>
      </c>
    </row>
    <row r="45">
      <c r="A45" t="str">
        <v>نور العيدة</v>
      </c>
      <c r="B45" t="str">
        <v>رياضيات</v>
      </c>
      <c r="C45">
        <v>18</v>
      </c>
      <c r="D45" t="str">
        <v>(10) رياضيات ص2 (3) نشاط ص2 (5) مجال اختياري تنمية مستدامة ص3 + مسند (6) ابتدائي+ منسقة قدرات وتحصيلي</v>
      </c>
      <c r="E45">
        <v>24</v>
      </c>
    </row>
    <row r="46">
      <c r="A46" t="str">
        <v>سلطانة العتيبي</v>
      </c>
      <c r="B46" t="str">
        <v>فيزياء</v>
      </c>
      <c r="C46">
        <v>18</v>
      </c>
      <c r="D46" t="str">
        <v>(8) فيزياء ص2 (10) فيزياء ص3 + مسند (5) متوسط + (1) ابتدائي  + منسقة نافس</v>
      </c>
      <c r="E46">
        <v>24</v>
      </c>
    </row>
    <row r="47">
      <c r="A47" t="str">
        <v>هدى المطيري</v>
      </c>
      <c r="B47" t="str">
        <v>كيمياء</v>
      </c>
      <c r="C47">
        <v>23</v>
      </c>
      <c r="D47" t="str">
        <v>(6) كيمياء ص1 (10) كيمياء ص2 (6) كيمياء ص3 (1) نشاط ص1 فصل + (2) مسند ابتدائي</v>
      </c>
      <c r="E47">
        <v>25</v>
      </c>
    </row>
    <row r="48">
      <c r="A48" t="str">
        <v>أماني فهمي</v>
      </c>
      <c r="B48" t="str">
        <v>أحياء</v>
      </c>
      <c r="C48">
        <v>20</v>
      </c>
      <c r="D48" t="str">
        <v>(6) أحياء ص1 (8) أحياء ص2 (9) علم الأرض ص3 + مسند (4) متوسط</v>
      </c>
      <c r="E48">
        <v>24</v>
      </c>
    </row>
    <row r="49">
      <c r="A49" t="str">
        <v>حنان العنزي (مكرر مكمل من متوسط )</v>
      </c>
      <c r="B49" t="str">
        <v>انجليزي</v>
      </c>
      <c r="C49">
        <v>11</v>
      </c>
      <c r="D49" t="str">
        <v>(10) انجليزي ص1 (1) نشاط ص1 فصل + مسند (11) متوسط +( 3) ابتدائي</v>
      </c>
      <c r="E49">
        <v>25</v>
      </c>
    </row>
    <row r="50">
      <c r="A50" t="str">
        <v xml:space="preserve">أمل العنزي </v>
      </c>
      <c r="B50" t="str">
        <v>انجليزي</v>
      </c>
      <c r="C50">
        <v>19</v>
      </c>
      <c r="D50" t="str">
        <v>(8) انجليزي ص3 (10) انجليزي ص2 (1) نشاط ص2 فصل + مسند (5) متوسط + منسقة اختبارات steep</v>
      </c>
      <c r="E50">
        <v>24</v>
      </c>
    </row>
    <row r="51">
      <c r="A51" t="str">
        <v xml:space="preserve">نوير الشمري </v>
      </c>
      <c r="B51" t="str">
        <v>حاسب</v>
      </c>
      <c r="C51">
        <v>10</v>
      </c>
      <c r="D51" t="str">
        <v>(٦) تقنية رقمية ص1 (4) رقمية ص3  + مسند (٦) حصص بالمتوسط + (8) حصص بالابتدائي</v>
      </c>
      <c r="E51">
        <v>24</v>
      </c>
    </row>
    <row r="52">
      <c r="A52" t="str">
        <v>إجمالي الحصص</v>
      </c>
      <c r="B52">
        <v>198</v>
      </c>
      <c r="C52">
        <f>SUM(C41:C51)</f>
        <v>198</v>
      </c>
      <c r="D52" t="str">
        <v>تم زيادة ( 6) حصص لتفعيل البرامج الاثرائية ورفع مستوى التحصيل فأصبحت إجمالي الحصص 198</v>
      </c>
    </row>
  </sheetData>
  <mergeCells count="13">
    <mergeCell ref="A1:E1"/>
    <mergeCell ref="A2:A3"/>
    <mergeCell ref="B2:B3"/>
    <mergeCell ref="C2:C3"/>
    <mergeCell ref="D2:D3"/>
    <mergeCell ref="E2:E3"/>
    <mergeCell ref="A39:E39"/>
    <mergeCell ref="A23:E23"/>
    <mergeCell ref="A24:A25"/>
    <mergeCell ref="B24:B25"/>
    <mergeCell ref="C24:C25"/>
    <mergeCell ref="D24:D25"/>
    <mergeCell ref="E24:E25"/>
  </mergeCells>
  <pageMargins left="0.15748031496062992" right="0.15748031496062992" top="0.15748031496062992" bottom="0.15748031496062992" header="0.15748031496062992" footer="0.15748031496062992"/>
  <ignoredErrors>
    <ignoredError numberStoredAsText="1" sqref="A1:E5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1"/>
  </sheetViews>
  <sheetData>
    <row r="1">
      <c r="A1" t="str">
        <v xml:space="preserve"> الطاقة الاستيعابية  حسب المبنى والفصول الدراسية</v>
      </c>
    </row>
    <row r="2">
      <c r="A2" t="str">
        <v>المرحلة</v>
      </c>
      <c r="B2" t="str">
        <v>القسم</v>
      </c>
      <c r="C2" t="str">
        <v>الطاقة الاستيعابية الكاملة للمرحلة</v>
      </c>
      <c r="D2" t="str">
        <v>الاستيعاب الحالي  للمرحلة</v>
      </c>
      <c r="E2" t="str">
        <v>النسبة الحالية المستخدمة من الطاقة الاستيعابية للمرحلة</v>
      </c>
      <c r="F2" t="str">
        <v>ملاحظات</v>
      </c>
    </row>
    <row r="3">
      <c r="A3" t="str">
        <v>رياض الأطفال</v>
      </c>
      <c r="B3" t="str">
        <v>بنات</v>
      </c>
      <c r="C3">
        <v>80</v>
      </c>
      <c r="D3">
        <f>'إحصاء الطلاب'!I6</f>
        <v>43</v>
      </c>
      <c r="E3">
        <f>D3/C3</f>
        <v>0.5375</v>
      </c>
    </row>
    <row r="4">
      <c r="A4" t="str">
        <v>الابتدائية</v>
      </c>
      <c r="B4" t="str">
        <v>بنين</v>
      </c>
      <c r="C4">
        <v>0</v>
      </c>
      <c r="D4">
        <v>0</v>
      </c>
      <c r="E4">
        <v>0</v>
      </c>
    </row>
    <row r="5">
      <c r="B5" t="str">
        <v>بنات</v>
      </c>
      <c r="C5">
        <v>300</v>
      </c>
      <c r="D5">
        <f>'إحصاء الطلاب'!I17</f>
        <v>112</v>
      </c>
      <c r="E5">
        <f>D5/C5</f>
        <v>0.37333333333333335</v>
      </c>
    </row>
    <row r="6">
      <c r="A6" t="str">
        <v>المتوسطة</v>
      </c>
      <c r="B6" t="str">
        <v>بنين</v>
      </c>
      <c r="C6">
        <f>'مساحات الفصول'!Q32</f>
        <v>172</v>
      </c>
      <c r="D6">
        <f>'إحصاء الطلاب'!I21</f>
        <v>61</v>
      </c>
      <c r="E6">
        <f>D6/C6</f>
        <v>0.3546511627906977</v>
      </c>
    </row>
    <row r="7">
      <c r="B7" t="str">
        <v>بنات</v>
      </c>
      <c r="C7">
        <v>150</v>
      </c>
      <c r="D7">
        <f>'إحصاء الطلاب'!I25</f>
        <v>69</v>
      </c>
      <c r="E7">
        <f>D7/C7</f>
        <v>0.46</v>
      </c>
    </row>
    <row r="8">
      <c r="A8" t="str">
        <v>الثانوية</v>
      </c>
      <c r="B8" t="str">
        <v>بنين</v>
      </c>
      <c r="C8">
        <f>'مساحات الفصول'!Q47</f>
        <v>23.333333333333332</v>
      </c>
      <c r="D8">
        <f>'إحصاء الطلاب'!I29</f>
        <v>14</v>
      </c>
      <c r="E8">
        <f>D8/C8</f>
        <v>0.6</v>
      </c>
    </row>
    <row r="9">
      <c r="B9" t="str">
        <v>بنات</v>
      </c>
      <c r="C9">
        <v>450</v>
      </c>
      <c r="D9">
        <f>'إحصاء الطلاب'!I40</f>
        <v>0</v>
      </c>
      <c r="E9">
        <f>D9/C9</f>
        <v>0</v>
      </c>
    </row>
    <row r="10">
      <c r="A10" t="str">
        <v>الإجمالي</v>
      </c>
      <c r="C10">
        <f>SUM(C3:C9)</f>
        <v>1175.3333333333335</v>
      </c>
      <c r="D10">
        <f>SUM(D3:D9)</f>
        <v>299</v>
      </c>
      <c r="E10">
        <f>D10/C10</f>
        <v>0.25439591605218376</v>
      </c>
    </row>
  </sheetData>
  <mergeCells count="5">
    <mergeCell ref="A4:A5"/>
    <mergeCell ref="A6:A7"/>
    <mergeCell ref="A8:A9"/>
    <mergeCell ref="A10:B10"/>
    <mergeCell ref="A1:F1"/>
  </mergeCells>
  <pageMargins left="0.7" right="0.7" top="0.75" bottom="0.75" header="0.3" footer="0.3"/>
  <ignoredErrors>
    <ignoredError numberStoredAsText="1" sqref="A1:F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B1:F30"/>
  <sheetViews>
    <sheetView workbookViewId="0" rightToLeft="1"/>
  </sheetViews>
  <sheetData>
    <row r="1">
      <c r="B1" t="str">
        <v>إحصائية التخصصات</v>
      </c>
    </row>
    <row r="2">
      <c r="B2" t="str">
        <v>التبعية</v>
      </c>
      <c r="C2" t="str">
        <v>الوظيفة</v>
      </c>
      <c r="D2" t="str">
        <v>العدد بالبنين</v>
      </c>
      <c r="E2" t="str">
        <v>العدد بالبنات</v>
      </c>
      <c r="F2" t="str">
        <v>اجمالي المجمع</v>
      </c>
    </row>
    <row r="3">
      <c r="B3" t="str">
        <v>هيئة ادارية</v>
      </c>
      <c r="C3" t="str">
        <v>مديرة مجمع</v>
      </c>
      <c r="D3">
        <v>0</v>
      </c>
      <c r="E3">
        <v>1</v>
      </c>
      <c r="F3">
        <f>SUM(D3:E3)</f>
        <v>1</v>
      </c>
    </row>
    <row r="4">
      <c r="C4" t="str">
        <v>سكرتير مدير مجمع</v>
      </c>
      <c r="D4">
        <v>1</v>
      </c>
      <c r="E4">
        <v>0</v>
      </c>
      <c r="F4">
        <f>SUM(D4:E4)</f>
        <v>1</v>
      </c>
    </row>
    <row r="5">
      <c r="C5" t="str">
        <v>مدير مرحلة</v>
      </c>
      <c r="D5">
        <v>1</v>
      </c>
      <c r="E5">
        <v>1</v>
      </c>
      <c r="F5">
        <f>SUM(D5:E5)</f>
        <v>2</v>
      </c>
    </row>
    <row r="6">
      <c r="C6" t="str">
        <v>وكيل</v>
      </c>
      <c r="D6">
        <v>3</v>
      </c>
      <c r="E6">
        <v>2</v>
      </c>
      <c r="F6">
        <f>SUM(D6:E6)</f>
        <v>5</v>
      </c>
    </row>
    <row r="7">
      <c r="C7" t="str">
        <v>موجه طلابي</v>
      </c>
      <c r="D7">
        <v>3</v>
      </c>
      <c r="E7">
        <v>2</v>
      </c>
      <c r="F7">
        <f>SUM(D7:E7)</f>
        <v>5</v>
      </c>
    </row>
    <row r="8">
      <c r="C8" t="str">
        <v>رائد نشاط</v>
      </c>
      <c r="D8">
        <v>1</v>
      </c>
      <c r="E8">
        <v>1</v>
      </c>
      <c r="F8">
        <f>SUM(D8:E8)</f>
        <v>2</v>
      </c>
    </row>
    <row r="9">
      <c r="C9" t="str">
        <v>مساعد اداري</v>
      </c>
      <c r="D9">
        <v>2</v>
      </c>
      <c r="E9">
        <v>0</v>
      </c>
      <c r="F9">
        <f>SUM(D9:E9)</f>
        <v>2</v>
      </c>
    </row>
    <row r="10">
      <c r="C10" t="str">
        <v>محضر مختبر</v>
      </c>
      <c r="D10">
        <v>0</v>
      </c>
      <c r="E10">
        <v>1</v>
      </c>
      <c r="F10">
        <f>SUM(D10:E10)</f>
        <v>1</v>
      </c>
    </row>
    <row r="11">
      <c r="C11" t="str">
        <v>مشرف مقيم</v>
      </c>
      <c r="D11">
        <v>1</v>
      </c>
      <c r="E11">
        <v>1</v>
      </c>
      <c r="F11">
        <f>SUM(D11:E11)</f>
        <v>2</v>
      </c>
    </row>
    <row r="12">
      <c r="C12" t="str">
        <v>مدخل بيانات</v>
      </c>
      <c r="D12">
        <v>1</v>
      </c>
      <c r="E12">
        <v>1</v>
      </c>
      <c r="F12">
        <f>SUM(D12:E12)</f>
        <v>2</v>
      </c>
    </row>
    <row r="13">
      <c r="B13" t="str">
        <v>اجمالي الهيئة الادارية</v>
      </c>
      <c r="D13">
        <f>SUM(D3:D12)</f>
        <v>13</v>
      </c>
      <c r="E13">
        <f>SUM(E3:E12)</f>
        <v>10</v>
      </c>
      <c r="F13">
        <f>SUM(F3:F12)</f>
        <v>23</v>
      </c>
    </row>
    <row r="15">
      <c r="B15" t="str">
        <v>هيئة تعليمية</v>
      </c>
      <c r="C15" t="str">
        <v>رياض اطفال</v>
      </c>
      <c r="D15">
        <v>0</v>
      </c>
      <c r="E15">
        <v>2</v>
      </c>
      <c r="F15">
        <f>SUM(D15:E15)</f>
        <v>2</v>
      </c>
    </row>
    <row r="16">
      <c r="C16" t="str">
        <v>معلم صف</v>
      </c>
      <c r="D16">
        <v>4</v>
      </c>
      <c r="E16">
        <v>0</v>
      </c>
      <c r="F16">
        <f>SUM(D16:E16)</f>
        <v>4</v>
      </c>
    </row>
    <row r="17">
      <c r="C17" t="str">
        <v>لغة عربية</v>
      </c>
      <c r="D17">
        <v>8</v>
      </c>
      <c r="E17">
        <v>4</v>
      </c>
      <c r="F17">
        <f>SUM(D17:E17)</f>
        <v>12</v>
      </c>
    </row>
    <row r="18">
      <c r="C18" t="str">
        <v>لغة انجليزية</v>
      </c>
      <c r="D18">
        <v>8</v>
      </c>
      <c r="E18">
        <v>4</v>
      </c>
      <c r="F18">
        <f>SUM(D18:E18)</f>
        <v>12</v>
      </c>
    </row>
    <row r="19">
      <c r="C19" t="str">
        <v>رياضيات</v>
      </c>
      <c r="D19">
        <v>9</v>
      </c>
      <c r="E19">
        <v>4</v>
      </c>
      <c r="F19">
        <f>SUM(D19:E19)</f>
        <v>13</v>
      </c>
    </row>
    <row r="20">
      <c r="C20" t="str">
        <v>فيزياء</v>
      </c>
      <c r="D20">
        <v>3</v>
      </c>
      <c r="E20">
        <v>1</v>
      </c>
      <c r="F20">
        <f>SUM(D20:E20)</f>
        <v>4</v>
      </c>
    </row>
    <row r="21">
      <c r="C21" t="str">
        <v>احياء</v>
      </c>
      <c r="D21">
        <v>3</v>
      </c>
      <c r="E21">
        <v>1</v>
      </c>
      <c r="F21">
        <f>SUM(D21:E21)</f>
        <v>4</v>
      </c>
    </row>
    <row r="22">
      <c r="C22" t="str">
        <v>كيمياء</v>
      </c>
      <c r="D22">
        <v>4</v>
      </c>
      <c r="E22">
        <v>1</v>
      </c>
      <c r="F22">
        <f>SUM(D22:E22)</f>
        <v>5</v>
      </c>
    </row>
    <row r="23">
      <c r="C23" t="str">
        <v>علوم</v>
      </c>
      <c r="D23">
        <v>3</v>
      </c>
      <c r="E23">
        <v>1</v>
      </c>
      <c r="F23">
        <f>SUM(D23:E23)</f>
        <v>4</v>
      </c>
    </row>
    <row r="24">
      <c r="C24" t="str">
        <v>اجتماعيات</v>
      </c>
      <c r="D24">
        <v>1</v>
      </c>
      <c r="E24">
        <v>1</v>
      </c>
      <c r="F24">
        <f>SUM(D24:E24)</f>
        <v>2</v>
      </c>
    </row>
    <row r="25">
      <c r="C25" t="str">
        <v>فنية</v>
      </c>
      <c r="D25">
        <v>2</v>
      </c>
      <c r="E25">
        <v>1</v>
      </c>
      <c r="F25">
        <f>SUM(D25:E25)</f>
        <v>3</v>
      </c>
    </row>
    <row r="26">
      <c r="C26" t="str">
        <v>بدنية</v>
      </c>
      <c r="D26">
        <v>3</v>
      </c>
      <c r="E26">
        <v>0</v>
      </c>
      <c r="F26">
        <f>SUM(D26:E26)</f>
        <v>3</v>
      </c>
    </row>
    <row r="27">
      <c r="C27" t="str">
        <v>اسلاميات</v>
      </c>
      <c r="D27">
        <v>4</v>
      </c>
      <c r="E27">
        <v>3</v>
      </c>
      <c r="F27">
        <f>SUM(D27:E27)</f>
        <v>7</v>
      </c>
    </row>
    <row r="28">
      <c r="C28" t="str">
        <v>حاسب الي</v>
      </c>
      <c r="D28">
        <v>5</v>
      </c>
      <c r="E28">
        <v>2</v>
      </c>
      <c r="F28">
        <f>SUM(D28:E28)</f>
        <v>7</v>
      </c>
    </row>
    <row r="29">
      <c r="C29" t="str">
        <v>صعوبات تعلم</v>
      </c>
      <c r="D29">
        <v>0</v>
      </c>
      <c r="E29">
        <v>0</v>
      </c>
      <c r="F29">
        <f>SUM(D29:E29)</f>
        <v>0</v>
      </c>
    </row>
    <row r="30">
      <c r="B30" t="str">
        <v>اجمالي الطواقم التعليمية</v>
      </c>
      <c r="D30">
        <f>SUM(D15:D29)</f>
        <v>57</v>
      </c>
      <c r="E30">
        <f>SUM(E15:E29)</f>
        <v>25</v>
      </c>
      <c r="F30">
        <f>SUM(F15:F29)</f>
        <v>82</v>
      </c>
    </row>
  </sheetData>
  <mergeCells count="6">
    <mergeCell ref="B30:C30"/>
    <mergeCell ref="B15:B29"/>
    <mergeCell ref="B1:F1"/>
    <mergeCell ref="B3:B12"/>
    <mergeCell ref="B13:C13"/>
    <mergeCell ref="B14:F14"/>
  </mergeCells>
  <pageMargins left="0.7" right="0.7" top="0.75" bottom="0.75" header="0.3" footer="0.3"/>
  <ignoredErrors>
    <ignoredError numberStoredAsText="1" sqref="B1:F3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Data/>
  <pageMargins left="0.7" right="0.7" top="0.75" bottom="0.75" header="0.3" footer="0.3"/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Data/>
  <pageMargins left="0.7" right="0.7" top="0.75" bottom="0.75" header="0.3" footer="0.3"/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1"/>
  </sheetViews>
  <sheetData>
    <row r="1">
      <c r="A1" t="str">
        <v>بيانات الخدمات المساندة</v>
      </c>
    </row>
    <row r="2">
      <c r="A2" t="str">
        <v>رقم الموظف</v>
      </c>
      <c r="B2" t="str">
        <v>اسم الموظف</v>
      </c>
      <c r="C2" t="str">
        <v>الوظيفة</v>
      </c>
      <c r="D2" t="str">
        <v>المرحلة</v>
      </c>
      <c r="E2" t="str">
        <v>القسم</v>
      </c>
      <c r="F2" t="str">
        <v>رقم الهوية</v>
      </c>
      <c r="G2" t="str">
        <v>الجنسية</v>
      </c>
      <c r="H2" t="str">
        <v>الجوال</v>
      </c>
      <c r="I2" t="str">
        <v>تاريخ المباشرة</v>
      </c>
      <c r="J2" t="str">
        <v>ملاحظات</v>
      </c>
    </row>
    <row r="3">
      <c r="A3" t="str">
        <v>30</v>
      </c>
      <c r="B3" t="str">
        <v>ابو السعود معاوية ابو السعود</v>
      </c>
      <c r="C3" t="str">
        <v>حارس</v>
      </c>
      <c r="D3" t="str">
        <v>متوسط وثانوي</v>
      </c>
      <c r="E3" t="str">
        <v>بنات</v>
      </c>
      <c r="F3" t="str">
        <v>2474277379</v>
      </c>
      <c r="G3" t="str">
        <v>السودان</v>
      </c>
      <c r="H3" t="str">
        <v>0554292056</v>
      </c>
    </row>
    <row r="4">
      <c r="A4" t="str">
        <v>295</v>
      </c>
      <c r="B4" t="str">
        <v>صبري محمد محمود عثمان</v>
      </c>
      <c r="C4" t="str">
        <v>حارس</v>
      </c>
      <c r="D4" t="str">
        <v>ثانوي بنين</v>
      </c>
      <c r="E4" t="str">
        <v xml:space="preserve">بنين </v>
      </c>
      <c r="F4" t="str">
        <v>2207392172</v>
      </c>
      <c r="H4" t="str">
        <v>553833279</v>
      </c>
    </row>
    <row r="5">
      <c r="A5" t="str">
        <v>293</v>
      </c>
      <c r="B5" t="str">
        <v>عاطف محمد ادريس محمد</v>
      </c>
      <c r="C5" t="str">
        <v>حارس</v>
      </c>
      <c r="D5" t="str">
        <v>أقسام البنين</v>
      </c>
      <c r="E5" t="str">
        <v xml:space="preserve">بنين </v>
      </c>
      <c r="F5" t="str">
        <v>2276755655</v>
      </c>
      <c r="G5" t="str">
        <v>السودان</v>
      </c>
      <c r="H5" t="str">
        <v>552178464</v>
      </c>
    </row>
    <row r="6">
      <c r="A6" t="str">
        <v>3028</v>
      </c>
      <c r="B6" t="str">
        <v>ابوبكر صديق</v>
      </c>
      <c r="C6" t="str">
        <v>سائق</v>
      </c>
      <c r="D6" t="str">
        <v>كل المراحل</v>
      </c>
      <c r="E6" t="str">
        <v>بنات</v>
      </c>
      <c r="F6" t="str">
        <v>2539904892</v>
      </c>
      <c r="G6" t="str">
        <v>بنجلاديش</v>
      </c>
      <c r="H6" t="str">
        <v>0571650836</v>
      </c>
    </row>
    <row r="7">
      <c r="A7" t="str">
        <v>324</v>
      </c>
      <c r="B7" t="str">
        <v>صابير جولا</v>
      </c>
      <c r="C7" t="str">
        <v>سائق</v>
      </c>
      <c r="D7" t="str">
        <v>كل المراحل</v>
      </c>
      <c r="E7" t="str">
        <v>بنات</v>
      </c>
      <c r="F7">
        <v>2429034354</v>
      </c>
      <c r="G7" t="str">
        <v>نيبالي</v>
      </c>
      <c r="H7" t="str">
        <v>500798824</v>
      </c>
    </row>
    <row r="8">
      <c r="A8" t="str">
        <v>3442</v>
      </c>
      <c r="B8" t="str">
        <v>فيضان احمد</v>
      </c>
      <c r="C8" t="str">
        <v>سائق</v>
      </c>
      <c r="D8" t="str">
        <v>كل المراحل</v>
      </c>
      <c r="E8" t="str">
        <v>بنات</v>
      </c>
      <c r="F8" t="str">
        <v>2555671813</v>
      </c>
      <c r="G8" t="str">
        <v>الهند</v>
      </c>
      <c r="H8" t="str">
        <v>0575249055</v>
      </c>
    </row>
    <row r="9">
      <c r="A9" t="str">
        <v>3441</v>
      </c>
      <c r="B9" t="str">
        <v>محمد علي</v>
      </c>
      <c r="C9" t="str">
        <v>سائق</v>
      </c>
      <c r="D9" t="str">
        <v>كل المراحل</v>
      </c>
      <c r="E9" t="str">
        <v xml:space="preserve">بنين </v>
      </c>
      <c r="F9" t="str">
        <v>2555671722</v>
      </c>
      <c r="G9" t="str">
        <v>الهند</v>
      </c>
      <c r="H9" t="str">
        <v>0571187133</v>
      </c>
    </row>
    <row r="10">
      <c r="A10" t="str">
        <v>319</v>
      </c>
      <c r="B10" t="str">
        <v>نجم الدين خان</v>
      </c>
      <c r="C10" t="str">
        <v>سائق</v>
      </c>
      <c r="D10" t="str">
        <v>كل المراحل</v>
      </c>
      <c r="E10" t="str">
        <v>بنات</v>
      </c>
      <c r="F10" t="str">
        <v>2429347194</v>
      </c>
      <c r="G10" t="str">
        <v>نيبالي</v>
      </c>
      <c r="H10" t="str">
        <v>0576104814</v>
      </c>
    </row>
    <row r="11">
      <c r="A11" t="str">
        <v>4625</v>
      </c>
      <c r="B11" t="str">
        <v>نادر محمد عبد الهادي</v>
      </c>
      <c r="C11" t="str">
        <v>سائق</v>
      </c>
      <c r="D11" t="str">
        <v>الابتدائي والمتوسط</v>
      </c>
      <c r="E11" t="str">
        <v>بنات</v>
      </c>
      <c r="F11" t="str">
        <v>2615293293</v>
      </c>
      <c r="G11" t="str">
        <v>مصر</v>
      </c>
      <c r="H11" t="str">
        <v>0544388592</v>
      </c>
    </row>
    <row r="12">
      <c r="B12" t="str">
        <v>عتيق آل رامان</v>
      </c>
      <c r="C12" t="str">
        <v>سائق</v>
      </c>
      <c r="D12" t="str">
        <v>كل المراحل</v>
      </c>
      <c r="E12" t="str">
        <v>بنات</v>
      </c>
      <c r="F12" t="str">
        <v>2552787216</v>
      </c>
      <c r="G12" t="str">
        <v>الهند</v>
      </c>
      <c r="H12" t="str">
        <v>0572188404</v>
      </c>
    </row>
    <row r="13">
      <c r="A13" t="str">
        <v>322</v>
      </c>
      <c r="B13" t="str">
        <v>رانجيت مهاسيز</v>
      </c>
      <c r="C13" t="str">
        <v>عامل نظافة</v>
      </c>
      <c r="D13" t="str">
        <v>الثانوية</v>
      </c>
      <c r="E13" t="str">
        <v xml:space="preserve">بنين </v>
      </c>
      <c r="F13" t="str">
        <v>2428894089</v>
      </c>
      <c r="G13" t="str">
        <v>نيبالي</v>
      </c>
      <c r="H13" t="str">
        <v>0557887356</v>
      </c>
    </row>
    <row r="14">
      <c r="A14" t="str">
        <v>315</v>
      </c>
      <c r="B14" t="str">
        <v>شهيد الإسلام أنو مياه</v>
      </c>
      <c r="C14" t="str">
        <v>عامل نظافة</v>
      </c>
      <c r="D14" t="str">
        <v>الابتدائية</v>
      </c>
      <c r="E14" t="str">
        <v xml:space="preserve">بنين </v>
      </c>
      <c r="F14" t="str">
        <v>2268093669</v>
      </c>
      <c r="G14" t="str">
        <v>بنجلاديش</v>
      </c>
      <c r="H14" t="str">
        <v>530195994</v>
      </c>
    </row>
    <row r="15">
      <c r="A15" t="str">
        <v>321</v>
      </c>
      <c r="B15" t="str">
        <v>بابلو مهاسيز</v>
      </c>
      <c r="C15" t="str">
        <v>عامل نظافة</v>
      </c>
      <c r="D15" t="str">
        <v>الابتدائية</v>
      </c>
      <c r="E15" t="str">
        <v xml:space="preserve">بنين </v>
      </c>
      <c r="F15" t="str">
        <v>2428894311</v>
      </c>
      <c r="G15" t="str">
        <v>نيبالي</v>
      </c>
      <c r="H15" t="str">
        <v>0572556532</v>
      </c>
    </row>
    <row r="16">
      <c r="A16" t="str">
        <v>328</v>
      </c>
      <c r="B16" t="str">
        <v>نور الحق اكي اولادير</v>
      </c>
      <c r="C16" t="str">
        <v>عامل نظافة</v>
      </c>
      <c r="D16" t="str">
        <v>الثانوية</v>
      </c>
      <c r="E16" t="str">
        <v xml:space="preserve">بنين </v>
      </c>
      <c r="F16" t="str">
        <v>2432179014</v>
      </c>
      <c r="G16" t="str">
        <v>بنجلاديش</v>
      </c>
      <c r="H16" t="str">
        <v>572293461</v>
      </c>
    </row>
    <row r="17">
      <c r="A17" t="str">
        <v>329</v>
      </c>
      <c r="B17" t="str">
        <v>جيرالد اوغستين</v>
      </c>
      <c r="C17" t="str">
        <v>عامل نظافة</v>
      </c>
      <c r="D17" t="str">
        <v>إدارة المجمع</v>
      </c>
      <c r="E17" t="str">
        <v xml:space="preserve">بنين </v>
      </c>
      <c r="F17" t="str">
        <v>2443914516</v>
      </c>
      <c r="G17" t="str">
        <v>الفلبين</v>
      </c>
      <c r="H17" t="str">
        <v>573082979</v>
      </c>
    </row>
    <row r="18">
      <c r="A18" t="str">
        <v>341</v>
      </c>
      <c r="B18" t="str">
        <v>لوسيلا نينادا كابانيرو</v>
      </c>
      <c r="C18" t="str">
        <v>عاملة نظافة</v>
      </c>
      <c r="D18" t="str">
        <v>الثانوية</v>
      </c>
      <c r="E18" t="str">
        <v>بنات</v>
      </c>
      <c r="F18" t="str">
        <v>2444621433</v>
      </c>
      <c r="G18" t="str">
        <v>الفلبين</v>
      </c>
      <c r="H18" t="str">
        <v>503306948</v>
      </c>
    </row>
    <row r="19">
      <c r="A19" t="str">
        <v>344</v>
      </c>
      <c r="B19" t="str">
        <v>ميشيل كالدو توبالاس</v>
      </c>
      <c r="C19" t="str">
        <v>عاملة نظافة</v>
      </c>
      <c r="D19" t="str">
        <v>التمهيدية</v>
      </c>
      <c r="E19" t="str">
        <v>بنات</v>
      </c>
      <c r="F19" t="str">
        <v>2442596603</v>
      </c>
      <c r="G19" t="str">
        <v>الفلبين</v>
      </c>
      <c r="H19" t="str">
        <v>570456403</v>
      </c>
    </row>
    <row r="21">
      <c r="B21" t="str">
        <v>الوظيفة / المرحلة</v>
      </c>
      <c r="C21" t="str">
        <v>تمهيدي</v>
      </c>
      <c r="D21" t="str">
        <v>ابتدائي بنات</v>
      </c>
      <c r="E21" t="str">
        <v>ابتدائي بنين</v>
      </c>
      <c r="F21" t="str">
        <v>متوسط بنات</v>
      </c>
      <c r="G21" t="str">
        <v>ثانوي بنين</v>
      </c>
      <c r="H21" t="str">
        <v>ثانوي بنات</v>
      </c>
      <c r="I21" t="str">
        <v>ادارة المجمع</v>
      </c>
      <c r="J21" t="str">
        <v>الاجمالي</v>
      </c>
    </row>
    <row r="22">
      <c r="B22" t="str">
        <v>عامل نظافة</v>
      </c>
      <c r="C22">
        <v>1</v>
      </c>
      <c r="E22">
        <v>2</v>
      </c>
      <c r="G22">
        <v>2</v>
      </c>
      <c r="H22">
        <v>1</v>
      </c>
      <c r="I22">
        <v>1</v>
      </c>
      <c r="J22">
        <f>SUM(C22:I22)</f>
        <v>7</v>
      </c>
    </row>
    <row r="23">
      <c r="B23" t="str">
        <v>حارس</v>
      </c>
      <c r="E23">
        <v>1</v>
      </c>
      <c r="G23">
        <v>1</v>
      </c>
      <c r="H23">
        <v>1</v>
      </c>
      <c r="J23">
        <f>SUM(C23:I23)</f>
        <v>3</v>
      </c>
    </row>
    <row r="24">
      <c r="B24" t="str">
        <v>سائق</v>
      </c>
      <c r="C24">
        <v>1</v>
      </c>
      <c r="D24">
        <v>2</v>
      </c>
      <c r="E24">
        <v>1</v>
      </c>
      <c r="F24">
        <v>1</v>
      </c>
      <c r="H24">
        <v>2</v>
      </c>
      <c r="J24">
        <f>SUM(C24:I24)</f>
        <v>7</v>
      </c>
    </row>
    <row r="25">
      <c r="B25" t="str">
        <v>إجمالي الخدمات المساندة أفراد</v>
      </c>
      <c r="C25">
        <f>SUM(C22:C24)</f>
        <v>2</v>
      </c>
      <c r="D25">
        <f>SUM(D22:D24)</f>
        <v>2</v>
      </c>
      <c r="E25">
        <f>SUM(E22:E24)</f>
        <v>4</v>
      </c>
      <c r="F25">
        <f>SUM(F22:F24)</f>
        <v>1</v>
      </c>
      <c r="G25">
        <f>SUM(G22:G24)</f>
        <v>3</v>
      </c>
      <c r="H25">
        <f>SUM(H22:H24)</f>
        <v>4</v>
      </c>
      <c r="I25">
        <f>SUM(I22:I24)</f>
        <v>1</v>
      </c>
      <c r="J25">
        <f>SUM(C25:I25)</f>
        <v>17</v>
      </c>
    </row>
  </sheetData>
  <mergeCells count="1">
    <mergeCell ref="A1:J1"/>
  </mergeCells>
  <pageMargins left="0.15748031496062992" right="0.15748031496062992" top="0.4330708661417323" bottom="0.2" header="0.31496062992125984" footer="0.17"/>
  <ignoredErrors>
    <ignoredError numberStoredAsText="1" sqref="A1:J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8"/>
  <sheetViews>
    <sheetView workbookViewId="0" rightToLeft="1"/>
  </sheetViews>
  <sheetData>
    <row r="1">
      <c r="A1" t="str">
        <v>بيان بمساحات الفصول وأعداد الطالبات</v>
      </c>
      <c r="K1" t="str">
        <v>بيان بمساحات الفصول وأعداد الطلاب</v>
      </c>
    </row>
    <row r="2">
      <c r="A2" t="str">
        <v>ابتدائي بنات</v>
      </c>
      <c r="K2" t="str">
        <v>ابتدائي بنين</v>
      </c>
    </row>
    <row r="3">
      <c r="A3" t="str">
        <v>عدد الفصول</v>
      </c>
      <c r="B3" t="str">
        <v>رقم الغرفة</v>
      </c>
      <c r="C3" t="str">
        <v>الفصل</v>
      </c>
      <c r="D3" t="str">
        <v>المساحة</v>
      </c>
      <c r="G3" t="str">
        <v>الطاقة الاستيعابية</v>
      </c>
      <c r="H3" t="str">
        <v>عدد الطالبات الفعلي</v>
      </c>
      <c r="I3" t="str">
        <v>الشواغر</v>
      </c>
      <c r="K3" t="str">
        <v>عدد الفصول</v>
      </c>
      <c r="L3" t="str">
        <v>رقم الغرفة</v>
      </c>
      <c r="M3" t="str">
        <v>الفصل</v>
      </c>
      <c r="N3" t="str">
        <v>المساحة</v>
      </c>
      <c r="Q3" t="str">
        <v>الطاقة الاستيعابية</v>
      </c>
      <c r="R3" t="str">
        <v>عدد الطلاب الفعلي</v>
      </c>
      <c r="S3" t="str">
        <v>الشواغر</v>
      </c>
    </row>
    <row r="4">
      <c r="D4" t="str">
        <v>الطول</v>
      </c>
      <c r="E4" t="str">
        <v>العرض</v>
      </c>
      <c r="F4" t="str">
        <v>المساحة</v>
      </c>
      <c r="N4" t="str">
        <v>الطول</v>
      </c>
      <c r="O4" t="str">
        <v>العرض</v>
      </c>
      <c r="P4" t="str">
        <v>المساحة</v>
      </c>
    </row>
    <row r="5">
      <c r="A5">
        <v>1</v>
      </c>
      <c r="C5" t="str">
        <v>أولى ابتدائي</v>
      </c>
      <c r="D5">
        <v>6</v>
      </c>
      <c r="E5">
        <v>5</v>
      </c>
      <c r="F5">
        <f>E5*D5</f>
        <v>30</v>
      </c>
      <c r="G5">
        <f>F5/1.5</f>
        <v>20</v>
      </c>
      <c r="H5">
        <v>10</v>
      </c>
      <c r="I5">
        <f>H5-G5</f>
        <v>-10</v>
      </c>
      <c r="K5">
        <v>1</v>
      </c>
      <c r="M5" t="str">
        <v>1/1</v>
      </c>
      <c r="N5">
        <v>6</v>
      </c>
      <c r="O5">
        <v>5</v>
      </c>
      <c r="P5">
        <f>O5*N5</f>
        <v>30</v>
      </c>
      <c r="Q5">
        <f>P5/1.5</f>
        <v>20</v>
      </c>
      <c r="R5">
        <v>19</v>
      </c>
      <c r="S5">
        <f>R5-Q5</f>
        <v>-1</v>
      </c>
    </row>
    <row r="6">
      <c r="A6">
        <v>2</v>
      </c>
      <c r="C6" t="str">
        <v>ثاني ابتدائي</v>
      </c>
      <c r="D6">
        <v>6</v>
      </c>
      <c r="E6">
        <v>5</v>
      </c>
      <c r="F6">
        <f>E6*D6</f>
        <v>30</v>
      </c>
      <c r="G6">
        <f>F6/1.5</f>
        <v>20</v>
      </c>
      <c r="H6">
        <v>18</v>
      </c>
      <c r="I6">
        <f>H6-G6</f>
        <v>-2</v>
      </c>
      <c r="K6">
        <v>2</v>
      </c>
      <c r="M6" t="str">
        <v>1/2</v>
      </c>
      <c r="N6">
        <v>6</v>
      </c>
      <c r="O6">
        <v>5</v>
      </c>
      <c r="P6">
        <f>O6*N6</f>
        <v>30</v>
      </c>
      <c r="Q6">
        <f>P6/1.5</f>
        <v>20</v>
      </c>
      <c r="R6">
        <v>19</v>
      </c>
      <c r="S6">
        <f>R6-Q6</f>
        <v>-1</v>
      </c>
    </row>
    <row r="7">
      <c r="A7">
        <v>3</v>
      </c>
      <c r="C7" t="str">
        <v>ثالث بنات</v>
      </c>
      <c r="D7">
        <v>6</v>
      </c>
      <c r="E7">
        <v>5</v>
      </c>
      <c r="F7">
        <f>E7*D7</f>
        <v>30</v>
      </c>
      <c r="G7">
        <f>F7/1.5</f>
        <v>20</v>
      </c>
      <c r="H7">
        <v>24</v>
      </c>
      <c r="I7">
        <f>H7-G7</f>
        <v>4</v>
      </c>
      <c r="K7">
        <v>3</v>
      </c>
      <c r="M7" t="str">
        <v>2/1</v>
      </c>
      <c r="N7">
        <v>6</v>
      </c>
      <c r="O7">
        <v>5</v>
      </c>
      <c r="P7">
        <f>O7*N7</f>
        <v>30</v>
      </c>
      <c r="Q7">
        <f>P7/1.5</f>
        <v>20</v>
      </c>
      <c r="R7">
        <v>20</v>
      </c>
      <c r="S7">
        <f>R7-Q7</f>
        <v>0</v>
      </c>
    </row>
    <row r="8">
      <c r="A8">
        <v>4</v>
      </c>
      <c r="C8" t="str">
        <v>ثالث بنين</v>
      </c>
      <c r="D8">
        <v>5</v>
      </c>
      <c r="E8">
        <v>3.5</v>
      </c>
      <c r="F8">
        <f>E8*D8</f>
        <v>17.5</v>
      </c>
      <c r="G8">
        <f>F8/1.5</f>
        <v>11.666666666666666</v>
      </c>
      <c r="H8">
        <v>8</v>
      </c>
      <c r="I8">
        <f>H8-G8</f>
        <v>-3.666666666666666</v>
      </c>
      <c r="K8">
        <v>4</v>
      </c>
      <c r="M8" t="str">
        <v>2/2</v>
      </c>
      <c r="N8">
        <v>6</v>
      </c>
      <c r="O8">
        <v>5</v>
      </c>
      <c r="P8">
        <f>O8*N8</f>
        <v>30</v>
      </c>
      <c r="Q8">
        <f>P8/1.5</f>
        <v>20</v>
      </c>
      <c r="R8">
        <v>19</v>
      </c>
      <c r="S8">
        <f>R8-Q8</f>
        <v>-1</v>
      </c>
    </row>
    <row r="9">
      <c r="A9">
        <v>5</v>
      </c>
      <c r="C9" t="str">
        <v>رابع ابتدائي</v>
      </c>
      <c r="D9">
        <v>6</v>
      </c>
      <c r="E9">
        <v>5</v>
      </c>
      <c r="F9">
        <f>E9*D9</f>
        <v>30</v>
      </c>
      <c r="G9">
        <f>F9/1.5</f>
        <v>20</v>
      </c>
      <c r="H9">
        <v>20</v>
      </c>
      <c r="I9">
        <f>H9-G9</f>
        <v>0</v>
      </c>
      <c r="K9">
        <v>5</v>
      </c>
      <c r="M9" t="str">
        <v>3/1</v>
      </c>
      <c r="N9">
        <v>6</v>
      </c>
      <c r="O9">
        <v>5</v>
      </c>
      <c r="P9">
        <f>O9*N9</f>
        <v>30</v>
      </c>
      <c r="Q9">
        <f>P9/1.5</f>
        <v>20</v>
      </c>
      <c r="R9">
        <v>17</v>
      </c>
      <c r="S9">
        <f>R9-Q9</f>
        <v>-3</v>
      </c>
    </row>
    <row r="10">
      <c r="A10">
        <v>6</v>
      </c>
      <c r="C10" t="str">
        <v>خامس ابتدائي</v>
      </c>
      <c r="D10">
        <v>5</v>
      </c>
      <c r="E10">
        <v>3.5</v>
      </c>
      <c r="F10">
        <f>E10*D10</f>
        <v>17.5</v>
      </c>
      <c r="G10">
        <f>F10/1.5</f>
        <v>11.666666666666666</v>
      </c>
      <c r="H10">
        <v>13</v>
      </c>
      <c r="I10">
        <f>H10-G10</f>
        <v>1.333333333333334</v>
      </c>
      <c r="K10">
        <v>6</v>
      </c>
      <c r="M10" t="str">
        <v>3/2</v>
      </c>
      <c r="N10">
        <v>6</v>
      </c>
      <c r="O10">
        <v>5</v>
      </c>
      <c r="P10">
        <f>O10*N10</f>
        <v>30</v>
      </c>
      <c r="Q10">
        <f>P10/1.5</f>
        <v>20</v>
      </c>
      <c r="R10">
        <v>17</v>
      </c>
      <c r="S10">
        <f>R10-Q10</f>
        <v>-3</v>
      </c>
    </row>
    <row r="11">
      <c r="A11">
        <v>7</v>
      </c>
      <c r="C11" t="str">
        <v>سادس ابتدائي</v>
      </c>
      <c r="D11">
        <v>5</v>
      </c>
      <c r="E11">
        <v>3.5</v>
      </c>
      <c r="F11">
        <f>E11*D11</f>
        <v>17.5</v>
      </c>
      <c r="G11">
        <f>F11/1.5</f>
        <v>11.666666666666666</v>
      </c>
      <c r="H11">
        <v>9</v>
      </c>
      <c r="I11">
        <f>H11-G11</f>
        <v>-2.666666666666666</v>
      </c>
      <c r="K11">
        <v>7</v>
      </c>
      <c r="M11" t="str">
        <v>4/1</v>
      </c>
      <c r="N11">
        <v>6</v>
      </c>
      <c r="O11">
        <v>5</v>
      </c>
      <c r="P11">
        <f>O11*N11</f>
        <v>30</v>
      </c>
      <c r="Q11">
        <f>P11/1.5</f>
        <v>20</v>
      </c>
      <c r="R11">
        <v>28</v>
      </c>
      <c r="S11">
        <f>R11-Q11</f>
        <v>8</v>
      </c>
    </row>
    <row r="12">
      <c r="A12">
        <v>8</v>
      </c>
      <c r="F12">
        <f>E12*D12</f>
        <v>0</v>
      </c>
      <c r="G12">
        <f>F12/1.5</f>
        <v>0</v>
      </c>
      <c r="I12">
        <f>H12-G12</f>
        <v>0</v>
      </c>
      <c r="K12">
        <v>8</v>
      </c>
      <c r="M12" t="str">
        <v>4/2</v>
      </c>
      <c r="N12">
        <v>6</v>
      </c>
      <c r="O12">
        <v>5</v>
      </c>
      <c r="P12">
        <f>O12*N12</f>
        <v>30</v>
      </c>
      <c r="Q12">
        <f>P12/1.5</f>
        <v>20</v>
      </c>
      <c r="R12">
        <v>28</v>
      </c>
      <c r="S12">
        <f>R12-Q12</f>
        <v>8</v>
      </c>
    </row>
    <row r="13">
      <c r="A13">
        <v>9</v>
      </c>
      <c r="F13">
        <f>E13*D13</f>
        <v>0</v>
      </c>
      <c r="G13">
        <f>F13/1.5</f>
        <v>0</v>
      </c>
      <c r="I13">
        <f>H13-G13</f>
        <v>0</v>
      </c>
      <c r="K13">
        <v>9</v>
      </c>
      <c r="M13" t="str">
        <v>5/1</v>
      </c>
      <c r="N13">
        <v>6</v>
      </c>
      <c r="O13">
        <v>5</v>
      </c>
      <c r="P13">
        <f>O13*N13</f>
        <v>30</v>
      </c>
      <c r="Q13">
        <f>P13/1.5</f>
        <v>20</v>
      </c>
      <c r="R13">
        <v>24</v>
      </c>
      <c r="S13">
        <f>R13-Q13</f>
        <v>4</v>
      </c>
    </row>
    <row r="14">
      <c r="A14">
        <v>10</v>
      </c>
      <c r="F14">
        <f>E14*D14</f>
        <v>0</v>
      </c>
      <c r="G14">
        <f>F14/1.5</f>
        <v>0</v>
      </c>
      <c r="I14">
        <f>H14-G14</f>
        <v>0</v>
      </c>
      <c r="K14">
        <v>10</v>
      </c>
      <c r="M14" t="str">
        <v>5/2</v>
      </c>
      <c r="N14">
        <v>6</v>
      </c>
      <c r="O14">
        <v>5</v>
      </c>
      <c r="P14">
        <f>O14*N14</f>
        <v>30</v>
      </c>
      <c r="Q14">
        <f>P14/1.5</f>
        <v>20</v>
      </c>
      <c r="R14">
        <v>24</v>
      </c>
      <c r="S14">
        <f>R14-Q14</f>
        <v>4</v>
      </c>
    </row>
    <row r="15">
      <c r="A15">
        <v>11</v>
      </c>
      <c r="F15">
        <f>E15*D15</f>
        <v>0</v>
      </c>
      <c r="G15">
        <f>F15/1.5</f>
        <v>0</v>
      </c>
      <c r="I15">
        <f>H15-G15</f>
        <v>0</v>
      </c>
      <c r="K15">
        <v>11</v>
      </c>
      <c r="M15" t="str">
        <v>6/1</v>
      </c>
      <c r="N15">
        <v>6</v>
      </c>
      <c r="O15">
        <v>5</v>
      </c>
      <c r="P15">
        <f>O15*N15</f>
        <v>30</v>
      </c>
      <c r="Q15">
        <f>P15/1.5</f>
        <v>20</v>
      </c>
      <c r="R15">
        <v>19</v>
      </c>
      <c r="S15">
        <f>R15-Q15</f>
        <v>-1</v>
      </c>
    </row>
    <row r="16">
      <c r="A16">
        <v>12</v>
      </c>
      <c r="F16">
        <f>E16*D16</f>
        <v>0</v>
      </c>
      <c r="G16">
        <f>F16/1.5</f>
        <v>0</v>
      </c>
      <c r="I16">
        <f>H16-G16</f>
        <v>0</v>
      </c>
      <c r="K16">
        <v>12</v>
      </c>
      <c r="M16" t="str">
        <v>6/2</v>
      </c>
      <c r="N16">
        <v>6</v>
      </c>
      <c r="O16">
        <v>5</v>
      </c>
      <c r="P16">
        <f>O16*N16</f>
        <v>30</v>
      </c>
      <c r="Q16">
        <f>P16/1.5</f>
        <v>20</v>
      </c>
      <c r="R16">
        <v>18</v>
      </c>
      <c r="S16">
        <f>R16-Q16</f>
        <v>-2</v>
      </c>
    </row>
    <row r="17">
      <c r="A17" t="str">
        <v>إجمالي الطاقة الاستيعابية للابتدائي بنات</v>
      </c>
      <c r="G17">
        <f>SUM(G5:G16)</f>
        <v>115.00000000000001</v>
      </c>
      <c r="H17">
        <f>SUM(H5:H16)</f>
        <v>102</v>
      </c>
      <c r="I17">
        <f>SUM(I5:I16)</f>
        <v>-12.999999999999998</v>
      </c>
      <c r="K17" t="str">
        <v>إجمالي الطاقة الاستيعابية للابتدائي بنين</v>
      </c>
      <c r="Q17">
        <f>SUM(Q6:Q16)</f>
        <v>220</v>
      </c>
      <c r="R17">
        <f>SUM(R6:R16)</f>
        <v>233</v>
      </c>
      <c r="S17">
        <f>SUM(S6:S16)</f>
        <v>13</v>
      </c>
    </row>
    <row r="18">
      <c r="A18" t="str">
        <v>بيان بمساحات الفصول وأعداد الطالبات</v>
      </c>
      <c r="K18" t="str">
        <v>بيان بمساحات الفصول وأعداد الطلاب</v>
      </c>
    </row>
    <row r="19">
      <c r="A19" t="str">
        <v>متوسطة بنات</v>
      </c>
      <c r="K19" t="str">
        <v>متوسط بنين</v>
      </c>
    </row>
    <row r="20">
      <c r="A20" t="str">
        <v>عدد الفصول</v>
      </c>
      <c r="B20" t="str">
        <v>رقم الغرفة</v>
      </c>
      <c r="C20" t="str">
        <v>الصف</v>
      </c>
      <c r="D20" t="str">
        <v>المساحة</v>
      </c>
      <c r="G20" t="str">
        <v>الطاقة الاستيعابية</v>
      </c>
      <c r="H20" t="str">
        <v>عدد الطالبات الفعلي</v>
      </c>
      <c r="I20" t="str">
        <v>الشواغر</v>
      </c>
      <c r="K20" t="str">
        <v>عدد الفصول</v>
      </c>
      <c r="L20" t="str">
        <v>رقم الغرفة</v>
      </c>
      <c r="M20" t="str">
        <v>الصف</v>
      </c>
      <c r="N20" t="str">
        <v>المساحة</v>
      </c>
      <c r="Q20" t="str">
        <v>الطاقة الاستيعابية</v>
      </c>
      <c r="R20" t="str">
        <v>عدد الطلاب الفعلي</v>
      </c>
      <c r="S20" t="str">
        <v>الشواغر</v>
      </c>
    </row>
    <row r="21">
      <c r="D21" t="str">
        <v>الطول</v>
      </c>
      <c r="E21" t="str">
        <v>العرض</v>
      </c>
      <c r="F21" t="str">
        <v>المساحة</v>
      </c>
      <c r="N21" t="str">
        <v>الطول</v>
      </c>
      <c r="O21" t="str">
        <v>العرض</v>
      </c>
      <c r="P21" t="str">
        <v>المساحة</v>
      </c>
    </row>
    <row r="22">
      <c r="A22">
        <v>1</v>
      </c>
      <c r="B22">
        <v>29</v>
      </c>
      <c r="C22" t="str">
        <v>أول متوسط</v>
      </c>
      <c r="D22">
        <v>6</v>
      </c>
      <c r="E22">
        <v>5</v>
      </c>
      <c r="F22">
        <f>E22*D22</f>
        <v>30</v>
      </c>
      <c r="G22">
        <f>F22/1.5</f>
        <v>20</v>
      </c>
      <c r="H22">
        <v>13</v>
      </c>
      <c r="I22">
        <f>H22-G22</f>
        <v>-7</v>
      </c>
      <c r="K22">
        <v>1</v>
      </c>
      <c r="L22">
        <v>1</v>
      </c>
      <c r="M22" t="str">
        <v>1/1</v>
      </c>
      <c r="N22">
        <v>7</v>
      </c>
      <c r="O22">
        <v>5</v>
      </c>
      <c r="P22">
        <f>O22*N22</f>
        <v>35</v>
      </c>
      <c r="Q22">
        <f>P22/1.5</f>
        <v>23.333333333333332</v>
      </c>
      <c r="R22">
        <v>23</v>
      </c>
      <c r="S22">
        <f>R22-Q22</f>
        <v>-0.33333333333333215</v>
      </c>
    </row>
    <row r="23">
      <c r="A23">
        <v>2</v>
      </c>
      <c r="B23">
        <v>24</v>
      </c>
      <c r="C23" t="str">
        <v>ثاني متوسط</v>
      </c>
      <c r="D23">
        <v>6</v>
      </c>
      <c r="E23">
        <v>5</v>
      </c>
      <c r="F23">
        <f>E23*D23</f>
        <v>30</v>
      </c>
      <c r="G23">
        <f>F23/1.5</f>
        <v>20</v>
      </c>
      <c r="H23">
        <v>18</v>
      </c>
      <c r="I23">
        <f>H23-G23</f>
        <v>-2</v>
      </c>
      <c r="K23">
        <v>2</v>
      </c>
      <c r="L23">
        <v>2</v>
      </c>
      <c r="M23" t="str">
        <v>2/1</v>
      </c>
      <c r="N23">
        <v>7</v>
      </c>
      <c r="O23">
        <v>5</v>
      </c>
      <c r="P23">
        <f>O23*N23</f>
        <v>35</v>
      </c>
      <c r="Q23">
        <f>P23/1.5</f>
        <v>23.333333333333332</v>
      </c>
      <c r="R23">
        <v>22</v>
      </c>
      <c r="S23">
        <f>R23-Q23</f>
        <v>-1.3333333333333321</v>
      </c>
    </row>
    <row r="24">
      <c r="A24">
        <v>3</v>
      </c>
      <c r="B24">
        <v>23</v>
      </c>
      <c r="C24" t="str">
        <v>ثالث متوسط</v>
      </c>
      <c r="D24">
        <v>6</v>
      </c>
      <c r="E24">
        <v>5</v>
      </c>
      <c r="F24">
        <f>E24*D24</f>
        <v>30</v>
      </c>
      <c r="G24">
        <f>F24/1.5</f>
        <v>20</v>
      </c>
      <c r="H24">
        <v>14</v>
      </c>
      <c r="I24">
        <f>H24-G24</f>
        <v>-6</v>
      </c>
      <c r="K24">
        <v>3</v>
      </c>
      <c r="L24">
        <v>3</v>
      </c>
      <c r="M24" t="str">
        <v>3/1</v>
      </c>
      <c r="N24">
        <v>7</v>
      </c>
      <c r="O24">
        <v>5</v>
      </c>
      <c r="P24">
        <f>O24*N24</f>
        <v>35</v>
      </c>
      <c r="Q24">
        <f>P24/1.5</f>
        <v>23.333333333333332</v>
      </c>
      <c r="R24">
        <v>21</v>
      </c>
      <c r="S24">
        <f>R24-Q24</f>
        <v>-2.333333333333332</v>
      </c>
    </row>
    <row r="25">
      <c r="A25">
        <v>4</v>
      </c>
      <c r="F25">
        <f>E25*D25</f>
        <v>0</v>
      </c>
      <c r="G25">
        <f>F25/1.5</f>
        <v>0</v>
      </c>
      <c r="I25">
        <f>H25-G25</f>
        <v>0</v>
      </c>
      <c r="K25">
        <v>4</v>
      </c>
      <c r="L25">
        <v>4</v>
      </c>
      <c r="M25" t="str">
        <v>1/2</v>
      </c>
      <c r="N25">
        <v>7</v>
      </c>
      <c r="O25">
        <v>5</v>
      </c>
      <c r="P25">
        <f>O25*N25</f>
        <v>35</v>
      </c>
      <c r="Q25">
        <f>P25/1.5</f>
        <v>23.333333333333332</v>
      </c>
      <c r="R25">
        <v>28</v>
      </c>
      <c r="S25">
        <f>R25-Q25</f>
        <v>4.666666666666668</v>
      </c>
    </row>
    <row r="26">
      <c r="A26">
        <v>5</v>
      </c>
      <c r="F26">
        <f>E26*D26</f>
        <v>0</v>
      </c>
      <c r="G26">
        <f>F26/1.5</f>
        <v>0</v>
      </c>
      <c r="I26">
        <f>H26-G26</f>
        <v>0</v>
      </c>
      <c r="K26">
        <v>5</v>
      </c>
      <c r="L26">
        <v>5</v>
      </c>
      <c r="M26" t="str">
        <v>2/2</v>
      </c>
      <c r="N26">
        <v>7</v>
      </c>
      <c r="O26">
        <v>5</v>
      </c>
      <c r="P26">
        <f>O26*N26</f>
        <v>35</v>
      </c>
      <c r="Q26">
        <f>P26/1.5</f>
        <v>23.333333333333332</v>
      </c>
      <c r="R26">
        <v>27</v>
      </c>
      <c r="S26">
        <f>R26-Q26</f>
        <v>3.666666666666668</v>
      </c>
    </row>
    <row r="27">
      <c r="A27">
        <v>6</v>
      </c>
      <c r="F27">
        <f>E27*D27</f>
        <v>0</v>
      </c>
      <c r="G27">
        <f>F27/1.5</f>
        <v>0</v>
      </c>
      <c r="I27">
        <f>H27-G27</f>
        <v>0</v>
      </c>
      <c r="K27">
        <v>6</v>
      </c>
      <c r="L27">
        <v>6</v>
      </c>
      <c r="M27" t="str">
        <v>1/3</v>
      </c>
      <c r="N27">
        <v>7</v>
      </c>
      <c r="O27">
        <v>5</v>
      </c>
      <c r="P27">
        <f>O27*N27</f>
        <v>35</v>
      </c>
      <c r="Q27">
        <f>P27/1.5</f>
        <v>23.333333333333332</v>
      </c>
      <c r="R27">
        <v>27</v>
      </c>
      <c r="S27">
        <f>R27-Q27</f>
        <v>3.666666666666668</v>
      </c>
    </row>
    <row r="28">
      <c r="A28">
        <v>7</v>
      </c>
      <c r="F28">
        <f>E28*D28</f>
        <v>0</v>
      </c>
      <c r="G28">
        <f>F28/1.5</f>
        <v>0</v>
      </c>
      <c r="I28">
        <f>H28-G28</f>
        <v>0</v>
      </c>
      <c r="K28">
        <v>7</v>
      </c>
      <c r="L28">
        <v>7</v>
      </c>
      <c r="M28" t="str">
        <v>2/3</v>
      </c>
      <c r="N28">
        <v>8</v>
      </c>
      <c r="O28">
        <v>6</v>
      </c>
      <c r="P28">
        <f>O28*N28</f>
        <v>48</v>
      </c>
      <c r="Q28">
        <f>P28/1.5</f>
        <v>32</v>
      </c>
      <c r="R28">
        <v>28</v>
      </c>
      <c r="S28">
        <f>R28-Q28</f>
        <v>-4</v>
      </c>
    </row>
    <row r="29">
      <c r="A29">
        <v>8</v>
      </c>
      <c r="F29">
        <f>E29*D29</f>
        <v>0</v>
      </c>
      <c r="G29">
        <f>F29/1.5</f>
        <v>0</v>
      </c>
      <c r="I29">
        <f>H29-G29</f>
        <v>0</v>
      </c>
      <c r="K29">
        <v>8</v>
      </c>
      <c r="P29">
        <f>O29*N29</f>
        <v>0</v>
      </c>
      <c r="Q29">
        <f>P29/1.5</f>
        <v>0</v>
      </c>
      <c r="S29">
        <f>R29-Q29</f>
        <v>0</v>
      </c>
    </row>
    <row r="30">
      <c r="A30">
        <v>9</v>
      </c>
      <c r="F30">
        <f>E30*D30</f>
        <v>0</v>
      </c>
      <c r="G30">
        <f>F30/1.5</f>
        <v>0</v>
      </c>
      <c r="I30">
        <f>H30-G30</f>
        <v>0</v>
      </c>
      <c r="K30">
        <v>9</v>
      </c>
      <c r="P30">
        <f>O30*N30</f>
        <v>0</v>
      </c>
      <c r="Q30">
        <f>P30/1.5</f>
        <v>0</v>
      </c>
      <c r="S30">
        <f>R30-Q30</f>
        <v>0</v>
      </c>
    </row>
    <row r="31">
      <c r="A31">
        <v>10</v>
      </c>
      <c r="F31">
        <f>E31*D31</f>
        <v>0</v>
      </c>
      <c r="G31">
        <f>F31/1.5</f>
        <v>0</v>
      </c>
      <c r="I31">
        <f>H31-G31</f>
        <v>0</v>
      </c>
      <c r="K31">
        <v>10</v>
      </c>
      <c r="P31">
        <f>O31*N31</f>
        <v>0</v>
      </c>
      <c r="Q31">
        <f>P31/1.5</f>
        <v>0</v>
      </c>
      <c r="S31">
        <f>R31-Q31</f>
        <v>0</v>
      </c>
    </row>
    <row r="32">
      <c r="C32" t="str">
        <v>إجمالي الطاقة الاستيعابية للمتوسط بنات</v>
      </c>
      <c r="G32">
        <f>SUM(G22:G31)</f>
        <v>60</v>
      </c>
      <c r="H32">
        <f>SUM(H22:H31)</f>
        <v>45</v>
      </c>
      <c r="I32">
        <f>SUM(I22:I31)</f>
        <v>-15</v>
      </c>
      <c r="M32" t="str">
        <v>إجمالي الطاقة الاستيعابية للمتوسط بنين</v>
      </c>
      <c r="Q32">
        <f>SUM(Q22:Q31)</f>
        <v>172</v>
      </c>
      <c r="R32">
        <f>SUM(R22:R31)</f>
        <v>176</v>
      </c>
      <c r="S32">
        <f>SUM(S22:S31)</f>
        <v>4.000000000000007</v>
      </c>
    </row>
    <row r="33">
      <c r="A33" t="str">
        <v>بيان بمساحات الفصول وأعداد الطالبات</v>
      </c>
      <c r="K33" t="str">
        <v>بيان بمساحات الفصول وأعداد الطلاب</v>
      </c>
    </row>
    <row r="34">
      <c r="A34" t="str">
        <v>ثانوي بنات</v>
      </c>
      <c r="K34" t="str">
        <v>ثانوي بنات</v>
      </c>
    </row>
    <row r="35">
      <c r="A35" t="str">
        <v>عدد الفصول</v>
      </c>
      <c r="B35" t="str">
        <v>رقم الغرفة</v>
      </c>
      <c r="C35" t="str">
        <v>الصف</v>
      </c>
      <c r="D35" t="str">
        <v>المساحة</v>
      </c>
      <c r="G35" t="str">
        <v>الطاقة الاستيعابية</v>
      </c>
      <c r="H35" t="str">
        <v>عدد الطالبات الفعلي</v>
      </c>
      <c r="I35" t="str">
        <v>الشواغر</v>
      </c>
      <c r="K35" t="str">
        <v>عدد الفصول</v>
      </c>
      <c r="L35" t="str">
        <v>رقم الغرفة</v>
      </c>
      <c r="M35" t="str">
        <v>الصف</v>
      </c>
      <c r="N35" t="str">
        <v>المساحة</v>
      </c>
      <c r="Q35" t="str">
        <v>الطاقة الاستيعابية</v>
      </c>
      <c r="R35" t="str">
        <v>عدد الطالبات الفعلي</v>
      </c>
      <c r="S35" t="str">
        <v>الشواغر</v>
      </c>
    </row>
    <row r="36">
      <c r="D36" t="str">
        <v>الطول</v>
      </c>
      <c r="E36" t="str">
        <v>العرض</v>
      </c>
      <c r="F36" t="str">
        <v>المساحة</v>
      </c>
      <c r="N36" t="str">
        <v>الطول</v>
      </c>
      <c r="O36" t="str">
        <v>العرض</v>
      </c>
      <c r="P36" t="str">
        <v>المساحة</v>
      </c>
    </row>
    <row r="37">
      <c r="A37">
        <v>1</v>
      </c>
      <c r="B37">
        <v>22</v>
      </c>
      <c r="C37" t="str">
        <v>أول ثانوي/1</v>
      </c>
      <c r="D37">
        <v>6</v>
      </c>
      <c r="E37">
        <v>5</v>
      </c>
      <c r="F37">
        <f>E37*D37</f>
        <v>30</v>
      </c>
      <c r="G37">
        <f>F37/1.5</f>
        <v>20</v>
      </c>
      <c r="H37">
        <v>17</v>
      </c>
      <c r="I37">
        <f>H37-G37</f>
        <v>-3</v>
      </c>
      <c r="K37">
        <v>1</v>
      </c>
      <c r="L37">
        <v>12</v>
      </c>
      <c r="M37" t="str">
        <v>1/1</v>
      </c>
      <c r="N37">
        <v>7</v>
      </c>
      <c r="O37">
        <v>5</v>
      </c>
      <c r="P37">
        <f>O37*N37</f>
        <v>35</v>
      </c>
      <c r="Q37">
        <f>P37/1.5</f>
        <v>23.333333333333332</v>
      </c>
      <c r="R37">
        <v>23</v>
      </c>
      <c r="S37">
        <f>R37-Q37</f>
        <v>-0.33333333333333215</v>
      </c>
    </row>
    <row r="38">
      <c r="A38">
        <v>2</v>
      </c>
      <c r="B38">
        <v>19</v>
      </c>
      <c r="C38" t="str">
        <v>اول ثانوي/2</v>
      </c>
      <c r="D38">
        <v>6</v>
      </c>
      <c r="E38">
        <v>5</v>
      </c>
      <c r="F38">
        <f>E38*D38</f>
        <v>30</v>
      </c>
      <c r="G38">
        <f>F38/1.5</f>
        <v>20</v>
      </c>
      <c r="H38">
        <v>22</v>
      </c>
      <c r="I38">
        <f>H38-G38</f>
        <v>2</v>
      </c>
      <c r="K38">
        <v>2</v>
      </c>
      <c r="L38">
        <v>11</v>
      </c>
      <c r="M38" t="str">
        <v>2/1</v>
      </c>
      <c r="N38">
        <v>7</v>
      </c>
      <c r="O38">
        <v>5</v>
      </c>
      <c r="P38">
        <f>O38*N38</f>
        <v>35</v>
      </c>
      <c r="Q38">
        <f>P38/1.5</f>
        <v>23.333333333333332</v>
      </c>
      <c r="R38">
        <v>23</v>
      </c>
      <c r="S38">
        <f>R38-Q38</f>
        <v>-0.33333333333333215</v>
      </c>
    </row>
    <row r="39">
      <c r="A39">
        <v>3</v>
      </c>
      <c r="B39">
        <v>20</v>
      </c>
      <c r="C39" t="str">
        <v>ثاني ثانوي/1</v>
      </c>
      <c r="D39">
        <v>6</v>
      </c>
      <c r="E39">
        <v>5</v>
      </c>
      <c r="F39">
        <f>E39*D39</f>
        <v>30</v>
      </c>
      <c r="G39">
        <f>F39/1.5</f>
        <v>20</v>
      </c>
      <c r="H39">
        <v>29</v>
      </c>
      <c r="I39">
        <f>H39-G39</f>
        <v>9</v>
      </c>
      <c r="K39">
        <v>3</v>
      </c>
      <c r="M39" t="str">
        <v>3/1</v>
      </c>
      <c r="N39">
        <v>7</v>
      </c>
      <c r="O39">
        <v>5</v>
      </c>
      <c r="P39">
        <f>O39*N39</f>
        <v>35</v>
      </c>
      <c r="Q39">
        <f>P39/1.5</f>
        <v>23.333333333333332</v>
      </c>
      <c r="R39">
        <v>23</v>
      </c>
      <c r="S39">
        <f>R39-Q39</f>
        <v>-0.33333333333333215</v>
      </c>
    </row>
    <row r="40">
      <c r="A40">
        <v>4</v>
      </c>
      <c r="B40">
        <v>58</v>
      </c>
      <c r="C40" t="str">
        <v>ثاني ثانوي/2</v>
      </c>
      <c r="D40">
        <v>6</v>
      </c>
      <c r="E40">
        <v>5</v>
      </c>
      <c r="F40">
        <f>E40*D40</f>
        <v>30</v>
      </c>
      <c r="G40">
        <f>F40/1.5</f>
        <v>20</v>
      </c>
      <c r="H40">
        <v>25</v>
      </c>
      <c r="I40">
        <f>H40-G40</f>
        <v>5</v>
      </c>
      <c r="K40">
        <v>4</v>
      </c>
      <c r="M40" t="str">
        <v>4/1</v>
      </c>
      <c r="N40">
        <v>7</v>
      </c>
      <c r="O40">
        <v>5</v>
      </c>
      <c r="P40">
        <f>O40*N40</f>
        <v>35</v>
      </c>
      <c r="Q40">
        <f>P40/1.5</f>
        <v>23.333333333333332</v>
      </c>
      <c r="R40">
        <v>23</v>
      </c>
      <c r="S40">
        <f>R40-Q40</f>
        <v>-0.33333333333333215</v>
      </c>
    </row>
    <row r="41">
      <c r="A41">
        <v>5</v>
      </c>
      <c r="B41">
        <v>60</v>
      </c>
      <c r="C41" t="str">
        <v>ثالث ثانوي/1</v>
      </c>
      <c r="D41">
        <v>6</v>
      </c>
      <c r="E41">
        <v>5</v>
      </c>
      <c r="F41">
        <f>E41*D41</f>
        <v>30</v>
      </c>
      <c r="G41">
        <f>F41/1.5</f>
        <v>20</v>
      </c>
      <c r="H41">
        <v>32</v>
      </c>
      <c r="I41">
        <f>H41-G41</f>
        <v>12</v>
      </c>
      <c r="K41">
        <v>5</v>
      </c>
      <c r="L41" t="str">
        <v>نون</v>
      </c>
      <c r="M41" t="str">
        <v>5/1</v>
      </c>
      <c r="N41">
        <v>7</v>
      </c>
      <c r="O41">
        <v>5</v>
      </c>
      <c r="P41">
        <f>O41*N41</f>
        <v>35</v>
      </c>
      <c r="Q41">
        <f>P41/1.5</f>
        <v>23.333333333333332</v>
      </c>
      <c r="R41">
        <v>17</v>
      </c>
      <c r="S41">
        <f>R41-Q41</f>
        <v>-6.333333333333332</v>
      </c>
    </row>
    <row r="42">
      <c r="A42">
        <v>6</v>
      </c>
      <c r="B42">
        <v>61</v>
      </c>
      <c r="C42" t="str">
        <v>ثالث ثانوي/2</v>
      </c>
      <c r="D42">
        <v>6</v>
      </c>
      <c r="E42">
        <v>5</v>
      </c>
      <c r="F42">
        <f>E42*D42</f>
        <v>30</v>
      </c>
      <c r="G42">
        <f>F42/1.5</f>
        <v>20</v>
      </c>
      <c r="H42">
        <v>32</v>
      </c>
      <c r="I42">
        <f>H42-G42</f>
        <v>12</v>
      </c>
      <c r="K42">
        <v>6</v>
      </c>
      <c r="L42" t="str">
        <v>نون</v>
      </c>
      <c r="M42" t="str">
        <v>6/1</v>
      </c>
      <c r="N42">
        <v>7</v>
      </c>
      <c r="O42">
        <v>5</v>
      </c>
      <c r="P42">
        <f>O42*N42</f>
        <v>35</v>
      </c>
      <c r="Q42">
        <f>P42/1.5</f>
        <v>23.333333333333332</v>
      </c>
      <c r="R42">
        <v>16</v>
      </c>
      <c r="S42">
        <f>R42-Q42</f>
        <v>-7.333333333333332</v>
      </c>
    </row>
    <row r="43">
      <c r="A43">
        <v>7</v>
      </c>
      <c r="F43">
        <f>E43*D43</f>
        <v>0</v>
      </c>
      <c r="G43">
        <f>F43/1.5</f>
        <v>0</v>
      </c>
      <c r="I43">
        <f>H43-G43</f>
        <v>0</v>
      </c>
      <c r="K43">
        <v>7</v>
      </c>
      <c r="M43" t="str">
        <v>1/2</v>
      </c>
      <c r="N43">
        <v>7</v>
      </c>
      <c r="O43">
        <v>5</v>
      </c>
      <c r="P43">
        <f>O43*N43</f>
        <v>35</v>
      </c>
      <c r="Q43">
        <f>P43/1.5</f>
        <v>23.333333333333332</v>
      </c>
      <c r="R43">
        <v>23</v>
      </c>
      <c r="S43">
        <f>R43-Q43</f>
        <v>-0.33333333333333215</v>
      </c>
    </row>
    <row r="44">
      <c r="A44">
        <v>8</v>
      </c>
      <c r="F44">
        <f>E44*D44</f>
        <v>0</v>
      </c>
      <c r="G44">
        <f>F44/1.5</f>
        <v>0</v>
      </c>
      <c r="I44">
        <f>H44-G44</f>
        <v>0</v>
      </c>
      <c r="K44">
        <v>8</v>
      </c>
      <c r="M44" t="str">
        <v>2/2</v>
      </c>
      <c r="N44">
        <v>7</v>
      </c>
      <c r="O44">
        <v>5</v>
      </c>
      <c r="P44">
        <f>O44*N44</f>
        <v>35</v>
      </c>
      <c r="Q44">
        <f>P44/1.5</f>
        <v>23.333333333333332</v>
      </c>
      <c r="R44">
        <v>24</v>
      </c>
      <c r="S44">
        <f>R44-Q44</f>
        <v>0.6666666666666679</v>
      </c>
    </row>
    <row r="45">
      <c r="A45">
        <v>9</v>
      </c>
      <c r="F45">
        <f>E45*D45</f>
        <v>0</v>
      </c>
      <c r="G45">
        <f>F45/1.5</f>
        <v>0</v>
      </c>
      <c r="I45">
        <f>H45-G45</f>
        <v>0</v>
      </c>
      <c r="K45">
        <v>9</v>
      </c>
      <c r="L45">
        <v>8</v>
      </c>
      <c r="M45" t="str">
        <v>3/2</v>
      </c>
      <c r="N45">
        <v>7</v>
      </c>
      <c r="O45">
        <v>5</v>
      </c>
      <c r="P45">
        <f>O45*N45</f>
        <v>35</v>
      </c>
      <c r="Q45">
        <f>P45/1.5</f>
        <v>23.333333333333332</v>
      </c>
      <c r="R45">
        <v>23</v>
      </c>
      <c r="S45">
        <f>R45-Q45</f>
        <v>-0.33333333333333215</v>
      </c>
    </row>
    <row r="46">
      <c r="A46">
        <v>10</v>
      </c>
      <c r="F46">
        <f>E46*D46</f>
        <v>0</v>
      </c>
      <c r="G46">
        <f>F46/1.5</f>
        <v>0</v>
      </c>
      <c r="I46">
        <f>H46-G46</f>
        <v>0</v>
      </c>
      <c r="K46">
        <v>10</v>
      </c>
      <c r="L46">
        <v>5</v>
      </c>
      <c r="M46" t="str">
        <v>4/2</v>
      </c>
      <c r="N46">
        <v>7</v>
      </c>
      <c r="O46">
        <v>5</v>
      </c>
      <c r="P46">
        <f>O46*N46</f>
        <v>35</v>
      </c>
      <c r="Q46">
        <f>P46/1.5</f>
        <v>23.333333333333332</v>
      </c>
      <c r="R46">
        <v>25</v>
      </c>
      <c r="S46">
        <f>R46-Q46</f>
        <v>1.6666666666666679</v>
      </c>
    </row>
    <row r="47">
      <c r="A47">
        <v>11</v>
      </c>
      <c r="F47">
        <f>E47*D47</f>
        <v>0</v>
      </c>
      <c r="G47">
        <f>F47/1.5</f>
        <v>0</v>
      </c>
      <c r="I47">
        <f>H47-G47</f>
        <v>0</v>
      </c>
      <c r="K47">
        <v>11</v>
      </c>
      <c r="L47" t="str">
        <v>نون</v>
      </c>
      <c r="M47" t="str">
        <v>5/2</v>
      </c>
      <c r="N47">
        <v>7</v>
      </c>
      <c r="O47">
        <v>5</v>
      </c>
      <c r="P47">
        <f>O47*N47</f>
        <v>35</v>
      </c>
      <c r="Q47">
        <f>P47/1.5</f>
        <v>23.333333333333332</v>
      </c>
      <c r="R47">
        <v>17</v>
      </c>
      <c r="S47">
        <f>R47-Q47</f>
        <v>-6.333333333333332</v>
      </c>
    </row>
    <row r="48">
      <c r="A48">
        <v>12</v>
      </c>
      <c r="F48">
        <f>E48*D48</f>
        <v>0</v>
      </c>
      <c r="G48">
        <f>F48/1.5</f>
        <v>0</v>
      </c>
      <c r="I48">
        <f>H48-G48</f>
        <v>0</v>
      </c>
      <c r="K48">
        <v>12</v>
      </c>
      <c r="L48">
        <v>1</v>
      </c>
      <c r="M48" t="str">
        <v>1/3</v>
      </c>
      <c r="N48">
        <v>7</v>
      </c>
      <c r="O48">
        <v>5</v>
      </c>
      <c r="P48">
        <f>O48*N48</f>
        <v>35</v>
      </c>
      <c r="Q48">
        <f>P48/1.5</f>
        <v>23.333333333333332</v>
      </c>
      <c r="R48">
        <v>30</v>
      </c>
      <c r="S48">
        <f>R48-Q48</f>
        <v>6.666666666666668</v>
      </c>
    </row>
    <row r="49">
      <c r="A49">
        <v>13</v>
      </c>
      <c r="F49">
        <f>E49*D49</f>
        <v>0</v>
      </c>
      <c r="G49">
        <f>F49/1.5</f>
        <v>0</v>
      </c>
      <c r="I49">
        <f>H49-G49</f>
        <v>0</v>
      </c>
      <c r="K49">
        <v>13</v>
      </c>
      <c r="L49">
        <v>2</v>
      </c>
      <c r="M49" t="str">
        <v>2/3</v>
      </c>
      <c r="N49">
        <v>7</v>
      </c>
      <c r="O49">
        <v>5</v>
      </c>
      <c r="P49">
        <f>O49*N49</f>
        <v>35</v>
      </c>
      <c r="Q49">
        <f>P49/1.5</f>
        <v>23.333333333333332</v>
      </c>
      <c r="R49">
        <v>28</v>
      </c>
      <c r="S49">
        <f>R49-Q49</f>
        <v>4.666666666666668</v>
      </c>
    </row>
    <row r="50">
      <c r="A50">
        <v>14</v>
      </c>
      <c r="F50">
        <f>E50*D50</f>
        <v>0</v>
      </c>
      <c r="G50">
        <f>F50/1.5</f>
        <v>0</v>
      </c>
      <c r="I50">
        <f>H50-G50</f>
        <v>0</v>
      </c>
      <c r="K50">
        <v>14</v>
      </c>
      <c r="L50">
        <v>3</v>
      </c>
      <c r="M50" t="str">
        <v>3/3</v>
      </c>
      <c r="N50">
        <v>7</v>
      </c>
      <c r="O50">
        <v>5</v>
      </c>
      <c r="P50">
        <f>O50*N50</f>
        <v>35</v>
      </c>
      <c r="Q50">
        <f>P50/1.5</f>
        <v>23.333333333333332</v>
      </c>
      <c r="R50">
        <v>26</v>
      </c>
      <c r="S50">
        <f>R50-Q50</f>
        <v>2.666666666666668</v>
      </c>
    </row>
    <row r="51">
      <c r="A51">
        <v>15</v>
      </c>
      <c r="F51">
        <f>E51*D51</f>
        <v>0</v>
      </c>
      <c r="G51">
        <f>F51/1.5</f>
        <v>0</v>
      </c>
      <c r="I51">
        <f>H51-G51</f>
        <v>0</v>
      </c>
      <c r="K51">
        <v>15</v>
      </c>
      <c r="L51">
        <v>4</v>
      </c>
      <c r="M51" t="str">
        <v>4/3</v>
      </c>
      <c r="N51">
        <v>7</v>
      </c>
      <c r="O51">
        <v>5</v>
      </c>
      <c r="P51">
        <f>O51*N51</f>
        <v>35</v>
      </c>
      <c r="Q51">
        <f>P51/1.5</f>
        <v>23.333333333333332</v>
      </c>
      <c r="R51">
        <v>28</v>
      </c>
      <c r="S51">
        <f>R51-Q51</f>
        <v>4.666666666666668</v>
      </c>
    </row>
    <row r="52">
      <c r="A52">
        <v>16</v>
      </c>
      <c r="F52">
        <f>E52*D52</f>
        <v>0</v>
      </c>
      <c r="G52">
        <f>F52/1.5</f>
        <v>0</v>
      </c>
      <c r="I52">
        <f>H52-G52</f>
        <v>0</v>
      </c>
      <c r="K52">
        <v>16</v>
      </c>
      <c r="L52">
        <v>10</v>
      </c>
      <c r="M52" t="str">
        <v>شاغر</v>
      </c>
      <c r="N52">
        <v>7</v>
      </c>
      <c r="O52">
        <v>5</v>
      </c>
      <c r="P52">
        <f>O52*N52</f>
        <v>35</v>
      </c>
      <c r="Q52">
        <f>P52/1.5</f>
        <v>23.333333333333332</v>
      </c>
      <c r="R52">
        <v>0</v>
      </c>
      <c r="S52">
        <f>R52-Q52</f>
        <v>-23.333333333333332</v>
      </c>
    </row>
    <row r="53">
      <c r="A53">
        <v>17</v>
      </c>
      <c r="F53">
        <f>E53*D53</f>
        <v>0</v>
      </c>
      <c r="G53">
        <f>F53/1.5</f>
        <v>0</v>
      </c>
      <c r="I53">
        <f>H53-G53</f>
        <v>0</v>
      </c>
      <c r="K53">
        <v>17</v>
      </c>
      <c r="L53">
        <v>15</v>
      </c>
      <c r="M53" t="str">
        <v>شاغر</v>
      </c>
      <c r="N53">
        <v>7</v>
      </c>
      <c r="O53">
        <v>5</v>
      </c>
      <c r="P53">
        <f>O53*N53</f>
        <v>35</v>
      </c>
      <c r="Q53">
        <f>P53/1.5</f>
        <v>23.333333333333332</v>
      </c>
      <c r="R53">
        <v>0</v>
      </c>
      <c r="S53">
        <f>R53-Q53</f>
        <v>-23.333333333333332</v>
      </c>
    </row>
    <row r="54">
      <c r="A54">
        <v>18</v>
      </c>
      <c r="F54">
        <f>E54*D54</f>
        <v>0</v>
      </c>
      <c r="G54">
        <f>F54/1.5</f>
        <v>0</v>
      </c>
      <c r="I54">
        <f>H54-G54</f>
        <v>0</v>
      </c>
      <c r="K54">
        <v>18</v>
      </c>
      <c r="P54">
        <f>O54*N54</f>
        <v>0</v>
      </c>
      <c r="Q54">
        <f>P54/1.5</f>
        <v>0</v>
      </c>
      <c r="S54">
        <f>R54-Q54</f>
        <v>0</v>
      </c>
    </row>
    <row r="55">
      <c r="A55">
        <v>19</v>
      </c>
      <c r="F55">
        <f>E55*D55</f>
        <v>0</v>
      </c>
      <c r="G55">
        <f>F55/1.5</f>
        <v>0</v>
      </c>
      <c r="I55">
        <f>H55-G55</f>
        <v>0</v>
      </c>
      <c r="K55">
        <v>19</v>
      </c>
      <c r="P55">
        <f>O55*N55</f>
        <v>0</v>
      </c>
      <c r="Q55">
        <f>P55/1.5</f>
        <v>0</v>
      </c>
      <c r="S55">
        <f>R55-Q55</f>
        <v>0</v>
      </c>
    </row>
    <row r="56">
      <c r="A56">
        <v>20</v>
      </c>
      <c r="F56">
        <f>E56*D56</f>
        <v>0</v>
      </c>
      <c r="G56">
        <f>F56/1.5</f>
        <v>0</v>
      </c>
      <c r="I56">
        <f>H56-G56</f>
        <v>0</v>
      </c>
      <c r="K56">
        <v>20</v>
      </c>
      <c r="P56">
        <f>O56*N56</f>
        <v>0</v>
      </c>
      <c r="Q56">
        <f>P56/1.5</f>
        <v>0</v>
      </c>
      <c r="S56">
        <f>R56-Q56</f>
        <v>0</v>
      </c>
    </row>
    <row r="57">
      <c r="A57">
        <v>21</v>
      </c>
      <c r="F57">
        <f>E57*D57</f>
        <v>0</v>
      </c>
      <c r="G57">
        <f>F57/1.5</f>
        <v>0</v>
      </c>
      <c r="I57">
        <f>H57-G57</f>
        <v>0</v>
      </c>
      <c r="K57">
        <v>21</v>
      </c>
      <c r="P57">
        <f>O57*N57</f>
        <v>0</v>
      </c>
      <c r="Q57">
        <f>P57/1.5</f>
        <v>0</v>
      </c>
      <c r="S57">
        <f>R57-Q57</f>
        <v>0</v>
      </c>
    </row>
    <row r="58">
      <c r="C58" t="str">
        <v>إجمالي الطاقة الاستيعابية للثانوي</v>
      </c>
      <c r="G58">
        <f>SUM(G37:G57)</f>
        <v>120</v>
      </c>
      <c r="H58">
        <f>SUM(H37:H57)</f>
        <v>157</v>
      </c>
      <c r="I58">
        <f>SUM(I37:I57)</f>
        <v>37</v>
      </c>
      <c r="M58" t="str">
        <v>إجمالي الطاقة الاستيعابية للثانوي</v>
      </c>
      <c r="Q58">
        <f>SUM(Q37:Q57)</f>
        <v>396.6666666666666</v>
      </c>
      <c r="R58">
        <f>SUM(R37:R57)</f>
        <v>349</v>
      </c>
      <c r="S58">
        <f>SUM(S37:S57)</f>
        <v>-47.66666666666664</v>
      </c>
    </row>
  </sheetData>
  <mergeCells count="79">
    <mergeCell ref="A1:I1"/>
    <mergeCell ref="K1:S1"/>
    <mergeCell ref="A2:I2"/>
    <mergeCell ref="K2:S2"/>
    <mergeCell ref="A3:A4"/>
    <mergeCell ref="B3:B4"/>
    <mergeCell ref="C3:C4"/>
    <mergeCell ref="D3:F3"/>
    <mergeCell ref="G3:G4"/>
    <mergeCell ref="H3:H4"/>
    <mergeCell ref="R3:R4"/>
    <mergeCell ref="S3:S4"/>
    <mergeCell ref="A18:I18"/>
    <mergeCell ref="K18:S18"/>
    <mergeCell ref="I3:I4"/>
    <mergeCell ref="K3:K4"/>
    <mergeCell ref="L3:L4"/>
    <mergeCell ref="M3:M4"/>
    <mergeCell ref="N3:P3"/>
    <mergeCell ref="Q3:Q4"/>
    <mergeCell ref="A17:F17"/>
    <mergeCell ref="K17:P17"/>
    <mergeCell ref="S20:S21"/>
    <mergeCell ref="A19:I19"/>
    <mergeCell ref="K19:S19"/>
    <mergeCell ref="A20:A21"/>
    <mergeCell ref="B20:B21"/>
    <mergeCell ref="C20:C21"/>
    <mergeCell ref="D20:F20"/>
    <mergeCell ref="G20:G21"/>
    <mergeCell ref="H20:H21"/>
    <mergeCell ref="I20:I21"/>
    <mergeCell ref="K20:K21"/>
    <mergeCell ref="L20:L21"/>
    <mergeCell ref="M20:M21"/>
    <mergeCell ref="N20:P20"/>
    <mergeCell ref="Q20:Q21"/>
    <mergeCell ref="R20:R21"/>
    <mergeCell ref="C32:F32"/>
    <mergeCell ref="M32:P32"/>
    <mergeCell ref="A33:I33"/>
    <mergeCell ref="K33:S33"/>
    <mergeCell ref="A34:I34"/>
    <mergeCell ref="K34:S34"/>
    <mergeCell ref="A35:A36"/>
    <mergeCell ref="B35:B36"/>
    <mergeCell ref="C35:C36"/>
    <mergeCell ref="D35:F35"/>
    <mergeCell ref="G35:G36"/>
    <mergeCell ref="C58:F58"/>
    <mergeCell ref="R35:R36"/>
    <mergeCell ref="S35:S36"/>
    <mergeCell ref="I35:I36"/>
    <mergeCell ref="K35:K36"/>
    <mergeCell ref="L35:L36"/>
    <mergeCell ref="M35:M36"/>
    <mergeCell ref="N35:P35"/>
    <mergeCell ref="Q35:Q36"/>
    <mergeCell ref="H35:H36"/>
    <mergeCell ref="M58:P58"/>
    <mergeCell ref="U2:Z2"/>
    <mergeCell ref="U3:U4"/>
    <mergeCell ref="V3:V4"/>
    <mergeCell ref="W3:W4"/>
    <mergeCell ref="X3:X4"/>
    <mergeCell ref="Y3:Y4"/>
    <mergeCell ref="Z3:Z4"/>
    <mergeCell ref="AA3:AA4"/>
    <mergeCell ref="U6:U7"/>
    <mergeCell ref="U8:U9"/>
    <mergeCell ref="U10:U11"/>
    <mergeCell ref="U12:V12"/>
    <mergeCell ref="V26:V40"/>
    <mergeCell ref="V41:W41"/>
    <mergeCell ref="V14:Z14"/>
    <mergeCell ref="V16:V24"/>
    <mergeCell ref="X16:Y16"/>
    <mergeCell ref="X17:Y17"/>
    <mergeCell ref="V25:Z25"/>
  </mergeCells>
  <pageMargins left="0.7" right="0.7" top="0.75" bottom="0.75" header="0.3" footer="0.3"/>
  <ignoredErrors>
    <ignoredError numberStoredAsText="1" sqref="A1:AG5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R21"/>
  <sheetViews>
    <sheetView workbookViewId="0" rightToLeft="1"/>
  </sheetViews>
  <sheetData>
    <row r="1">
      <c r="A1" t="str">
        <v>بيان بمتوسط درجة المدرسة في اختبار القدرات والتحصيلي</v>
      </c>
    </row>
    <row r="2">
      <c r="A2" t="str">
        <v>العام</v>
      </c>
      <c r="B2" t="str">
        <v>الرقم الوزاري</v>
      </c>
      <c r="C2" t="str">
        <v>القسم</v>
      </c>
      <c r="D2" t="str">
        <v>نوع الاختبار</v>
      </c>
      <c r="E2" t="str">
        <v>متوسط الدرجة</v>
      </c>
      <c r="H2" t="str">
        <v>ترتيب المدرسة على مستوى المملكة</v>
      </c>
      <c r="K2" t="str">
        <v>ترتيب المدرسة على مستوى ادارة التعليم</v>
      </c>
      <c r="N2" t="str">
        <v>ترتيب المدرسة على مستوى مكتب التعليم</v>
      </c>
      <c r="Q2" t="str">
        <v>اسم مكتب التعليم</v>
      </c>
      <c r="R2" t="str">
        <v>المؤشر العام لترتيب المدرسة</v>
      </c>
    </row>
    <row r="3">
      <c r="E3" t="str">
        <v>مدرسة</v>
      </c>
      <c r="F3" t="str">
        <v>مكتب التعليم</v>
      </c>
      <c r="G3" t="str">
        <v>ادارة تعليم</v>
      </c>
      <c r="H3" t="str">
        <v>ترتيب المدرسة</v>
      </c>
      <c r="I3" t="str">
        <v>عدد مدارس المملكة</v>
      </c>
      <c r="J3" t="str">
        <v>مؤشر ترتيب المدرسة</v>
      </c>
      <c r="K3" t="str">
        <v>ترتيب المدرسة</v>
      </c>
      <c r="L3" t="str">
        <v>عدد مدارس الادارة</v>
      </c>
      <c r="M3" t="str">
        <v>مؤشر ترتيب المدرسة</v>
      </c>
      <c r="N3" t="str">
        <v>ترتيب المدرسة</v>
      </c>
      <c r="O3" t="str">
        <v>عدد مدارس المكتب</v>
      </c>
      <c r="P3" t="str">
        <v>مؤشر ترتيب المدرسة</v>
      </c>
    </row>
    <row r="4">
      <c r="A4">
        <v>1444</v>
      </c>
      <c r="B4">
        <v>110331</v>
      </c>
      <c r="C4" t="str">
        <v>بنين</v>
      </c>
      <c r="D4" t="str">
        <v>قدرات</v>
      </c>
      <c r="E4">
        <v>60</v>
      </c>
      <c r="F4">
        <v>69.6</v>
      </c>
      <c r="G4">
        <v>69.6</v>
      </c>
      <c r="H4">
        <v>1678</v>
      </c>
      <c r="J4" t="str">
        <v>متذبذب</v>
      </c>
      <c r="K4">
        <v>287</v>
      </c>
      <c r="N4">
        <v>29</v>
      </c>
      <c r="Q4" t="str">
        <v>النسيم</v>
      </c>
    </row>
    <row r="5">
      <c r="A5">
        <v>1443</v>
      </c>
      <c r="C5" t="str">
        <v>بنين</v>
      </c>
      <c r="D5" t="str">
        <v>قدرات</v>
      </c>
      <c r="E5">
        <v>60.1</v>
      </c>
      <c r="F5">
        <v>70.4</v>
      </c>
      <c r="G5">
        <v>69.3</v>
      </c>
      <c r="H5">
        <v>1672</v>
      </c>
      <c r="I5">
        <v>4643</v>
      </c>
      <c r="K5">
        <v>277</v>
      </c>
      <c r="L5">
        <v>564</v>
      </c>
      <c r="N5">
        <v>19</v>
      </c>
      <c r="Q5" t="str">
        <v>الروابي</v>
      </c>
    </row>
    <row r="6">
      <c r="A6">
        <v>1442</v>
      </c>
      <c r="C6" t="str">
        <v>بنين</v>
      </c>
      <c r="D6" t="str">
        <v>قدرات</v>
      </c>
      <c r="E6">
        <v>59.7</v>
      </c>
      <c r="F6">
        <v>69.6</v>
      </c>
      <c r="G6">
        <v>68.9</v>
      </c>
      <c r="H6">
        <v>1684</v>
      </c>
      <c r="I6">
        <v>2372</v>
      </c>
      <c r="K6">
        <v>269</v>
      </c>
      <c r="L6">
        <v>286</v>
      </c>
      <c r="N6">
        <v>18</v>
      </c>
      <c r="Q6" t="str">
        <v>الروابي</v>
      </c>
    </row>
    <row r="7">
      <c r="A7">
        <v>1444</v>
      </c>
      <c r="B7">
        <v>195585</v>
      </c>
      <c r="C7" t="str">
        <v>بنات</v>
      </c>
      <c r="D7" t="str">
        <v>قدرات</v>
      </c>
      <c r="E7">
        <v>73.7</v>
      </c>
      <c r="F7">
        <v>73.2</v>
      </c>
      <c r="G7">
        <v>73.2</v>
      </c>
      <c r="H7">
        <v>544</v>
      </c>
      <c r="K7">
        <v>154</v>
      </c>
      <c r="N7">
        <v>13</v>
      </c>
      <c r="Q7" t="str">
        <v>النسيم</v>
      </c>
    </row>
    <row r="8">
      <c r="A8">
        <v>1443</v>
      </c>
      <c r="C8" t="str">
        <v>بنات</v>
      </c>
      <c r="D8" t="str">
        <v>قدرات</v>
      </c>
      <c r="E8">
        <v>71.7</v>
      </c>
      <c r="F8">
        <v>71.9</v>
      </c>
      <c r="G8">
        <v>73.2</v>
      </c>
      <c r="H8">
        <v>840</v>
      </c>
      <c r="I8">
        <v>5092</v>
      </c>
      <c r="K8">
        <v>198</v>
      </c>
      <c r="L8">
        <v>675</v>
      </c>
      <c r="N8">
        <v>19</v>
      </c>
      <c r="Q8" t="str">
        <v>الروابي</v>
      </c>
    </row>
    <row r="9">
      <c r="A9">
        <v>1442</v>
      </c>
      <c r="C9" t="str">
        <v>بنات</v>
      </c>
      <c r="D9" t="str">
        <v>قدرات</v>
      </c>
      <c r="E9">
        <v>69.8</v>
      </c>
      <c r="F9">
        <v>71.3</v>
      </c>
      <c r="G9">
        <v>72.9</v>
      </c>
      <c r="H9">
        <v>1038</v>
      </c>
      <c r="I9">
        <v>2593</v>
      </c>
      <c r="K9">
        <v>228</v>
      </c>
      <c r="L9">
        <v>337</v>
      </c>
      <c r="N9">
        <v>23</v>
      </c>
      <c r="Q9" t="str">
        <v>الروابي</v>
      </c>
    </row>
    <row r="10">
      <c r="A10">
        <v>1444</v>
      </c>
      <c r="B10">
        <v>110331</v>
      </c>
      <c r="C10" t="str">
        <v>بنين</v>
      </c>
      <c r="D10" t="str">
        <v>تحصيلي</v>
      </c>
      <c r="E10">
        <v>55.3</v>
      </c>
      <c r="F10">
        <v>63.9</v>
      </c>
      <c r="G10">
        <v>63.7</v>
      </c>
      <c r="H10">
        <v>1853</v>
      </c>
      <c r="K10">
        <v>278</v>
      </c>
      <c r="N10">
        <v>29</v>
      </c>
      <c r="Q10" t="str">
        <v>النسيم</v>
      </c>
    </row>
    <row r="11">
      <c r="A11">
        <v>1443</v>
      </c>
      <c r="C11" t="str">
        <v>بنين</v>
      </c>
      <c r="D11" t="str">
        <v>تحصيلي</v>
      </c>
      <c r="E11">
        <v>56.1</v>
      </c>
      <c r="F11">
        <v>64.4</v>
      </c>
      <c r="G11">
        <v>63.5</v>
      </c>
      <c r="H11">
        <v>1854</v>
      </c>
      <c r="K11">
        <v>270</v>
      </c>
      <c r="N11">
        <v>19</v>
      </c>
      <c r="Q11" t="str">
        <v>الروابي</v>
      </c>
    </row>
    <row r="12">
      <c r="A12">
        <v>1442</v>
      </c>
      <c r="C12" t="str">
        <v>بنين</v>
      </c>
      <c r="D12" t="str">
        <v>تحصيلي</v>
      </c>
      <c r="E12">
        <v>56.8</v>
      </c>
      <c r="F12">
        <v>65.4</v>
      </c>
      <c r="G12">
        <v>66.9</v>
      </c>
      <c r="H12">
        <v>1860</v>
      </c>
      <c r="K12">
        <v>266</v>
      </c>
      <c r="N12">
        <v>19</v>
      </c>
      <c r="Q12" t="str">
        <v>الروابي</v>
      </c>
    </row>
    <row r="13">
      <c r="A13">
        <v>1444</v>
      </c>
      <c r="B13">
        <v>195585</v>
      </c>
      <c r="C13" t="str">
        <v>بنات</v>
      </c>
      <c r="D13" t="str">
        <v>تحصيلي</v>
      </c>
      <c r="E13">
        <v>67</v>
      </c>
      <c r="F13">
        <v>70.5</v>
      </c>
      <c r="G13">
        <v>70.7</v>
      </c>
      <c r="H13">
        <v>1291</v>
      </c>
      <c r="K13">
        <v>262</v>
      </c>
      <c r="N13">
        <v>24</v>
      </c>
      <c r="Q13" t="str">
        <v>النسيم</v>
      </c>
    </row>
    <row r="14">
      <c r="A14">
        <v>1443</v>
      </c>
      <c r="C14" t="str">
        <v>بنات</v>
      </c>
      <c r="D14" t="str">
        <v>تحصيلي</v>
      </c>
      <c r="E14">
        <v>65</v>
      </c>
      <c r="F14">
        <v>68.6</v>
      </c>
      <c r="G14">
        <v>70</v>
      </c>
      <c r="H14">
        <v>1376</v>
      </c>
      <c r="K14">
        <v>273</v>
      </c>
      <c r="N14">
        <v>37</v>
      </c>
      <c r="Q14" t="str">
        <v>الروابي</v>
      </c>
    </row>
    <row r="15">
      <c r="A15">
        <v>1442</v>
      </c>
      <c r="C15" t="str">
        <v>بنات</v>
      </c>
      <c r="D15" t="str">
        <v>تحصيلي</v>
      </c>
      <c r="E15">
        <v>66.7</v>
      </c>
      <c r="F15">
        <v>70.7</v>
      </c>
      <c r="G15">
        <v>72.2</v>
      </c>
      <c r="H15">
        <v>1339</v>
      </c>
      <c r="K15">
        <v>273</v>
      </c>
      <c r="N15">
        <v>37</v>
      </c>
      <c r="Q15" t="str">
        <v>الروابي</v>
      </c>
    </row>
    <row r="17">
      <c r="G17" t="str">
        <v>ملاحظة : مدارس المجمع ( بنين - بنات ) خارج قائمة المدارس الأعلى أداء ( 100 مدرسة)</v>
      </c>
    </row>
  </sheetData>
  <mergeCells count="32">
    <mergeCell ref="B4:B6"/>
    <mergeCell ref="B7:B9"/>
    <mergeCell ref="B10:B12"/>
    <mergeCell ref="B13:B15"/>
    <mergeCell ref="G17:N20"/>
    <mergeCell ref="J4:J6"/>
    <mergeCell ref="M4:M6"/>
    <mergeCell ref="J10:J12"/>
    <mergeCell ref="M10:M12"/>
    <mergeCell ref="A1:R1"/>
    <mergeCell ref="A2:A3"/>
    <mergeCell ref="C2:C3"/>
    <mergeCell ref="D2:D3"/>
    <mergeCell ref="E2:G2"/>
    <mergeCell ref="H2:J2"/>
    <mergeCell ref="K2:M2"/>
    <mergeCell ref="N2:P2"/>
    <mergeCell ref="Q2:Q3"/>
    <mergeCell ref="R2:R3"/>
    <mergeCell ref="B2:B3"/>
    <mergeCell ref="P4:P6"/>
    <mergeCell ref="R4:R6"/>
    <mergeCell ref="J7:J9"/>
    <mergeCell ref="M7:M9"/>
    <mergeCell ref="P7:P9"/>
    <mergeCell ref="R7:R9"/>
    <mergeCell ref="P10:P12"/>
    <mergeCell ref="R10:R12"/>
    <mergeCell ref="J13:J15"/>
    <mergeCell ref="M13:M15"/>
    <mergeCell ref="P13:P15"/>
    <mergeCell ref="R13:R15"/>
  </mergeCells>
  <pageMargins left="0.7" right="0.7" top="0.75" bottom="0.75" header="0.3" footer="0.3"/>
  <ignoredErrors>
    <ignoredError numberStoredAsText="1" sqref="A1:R2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R19"/>
  <sheetViews>
    <sheetView workbookViewId="0" rightToLeft="1"/>
  </sheetViews>
  <sheetData>
    <row r="1">
      <c r="A1" t="str">
        <v>بيان بتصنيف المعلمين بمجمع دار القلم ١٤٤٧</v>
      </c>
      <c r="K1" t="str">
        <v>بيان بتصنيف المعلمات بمجمع دار القلم ١٤٤٧</v>
      </c>
    </row>
    <row r="2">
      <c r="A2" t="str">
        <v>التصنيف</v>
      </c>
      <c r="B2" t="str">
        <v>اسم المعلم</v>
      </c>
      <c r="C2" t="str">
        <v>التخصص</v>
      </c>
      <c r="D2" t="str">
        <v>خبرة المعلم</v>
      </c>
      <c r="E2" t="str">
        <v>معدل تقييم أداء المعلم</v>
      </c>
      <c r="K2" t="str">
        <v>التصنيف</v>
      </c>
      <c r="L2" t="str">
        <v>اسم المعلمة</v>
      </c>
      <c r="M2" t="str">
        <v>التخصص</v>
      </c>
      <c r="N2" t="str">
        <v>خبرة المعلمة</v>
      </c>
      <c r="O2" t="str">
        <v>معدل تقييم أداء المعلمة</v>
      </c>
    </row>
    <row r="3" xml:space="preserve">
      <c r="E3" t="str" xml:space="preserve">
        <v xml:space="preserve">معدل أداء_x000d_
 الفصل الأول</v>
      </c>
      <c r="F3" t="str" xml:space="preserve">
        <v xml:space="preserve">معدل أداء _x000d_
الفصل الثاني</v>
      </c>
      <c r="G3" t="str" xml:space="preserve">
        <v xml:space="preserve">معدل أداء _x000d_
الفصل الثالث</v>
      </c>
      <c r="H3" t="str" xml:space="preserve">
        <v xml:space="preserve">التقييم_x000d_
 النهائي للمعلم</v>
      </c>
      <c r="O3" t="str" xml:space="preserve">
        <v xml:space="preserve">معدل أداء_x000d_
 الفصل الأول</v>
      </c>
      <c r="P3" t="str" xml:space="preserve">
        <v xml:space="preserve">معدل أداء _x000d_
الفصل الثاني</v>
      </c>
      <c r="Q3" t="str" xml:space="preserve">
        <v xml:space="preserve">معدل أداء _x000d_
الفصل الثالث</v>
      </c>
      <c r="R3" t="str" xml:space="preserve">
        <v xml:space="preserve">التقييم_x000d_
 النهائي للمعلمة</v>
      </c>
    </row>
    <row r="4">
      <c r="A4" t="str">
        <v>النمو الذاتي</v>
      </c>
      <c r="H4">
        <f>E4+F4+G4/3</f>
        <v>0</v>
      </c>
      <c r="K4" t="str">
        <v>النمو الذاتي</v>
      </c>
      <c r="R4">
        <f>O4+P4+Q4/3</f>
        <v>0</v>
      </c>
    </row>
    <row r="5">
      <c r="H5">
        <f>E5+F5+G5/3</f>
        <v>0</v>
      </c>
      <c r="R5">
        <f>O5+P5+Q5/3</f>
        <v>0</v>
      </c>
    </row>
    <row r="6">
      <c r="H6">
        <f>E6+F6+G6/3</f>
        <v>0</v>
      </c>
      <c r="R6">
        <f>O6+P6+Q6/3</f>
        <v>0</v>
      </c>
    </row>
    <row r="7">
      <c r="A7" t="str">
        <v>النمو المهني التعاوني</v>
      </c>
      <c r="H7">
        <f>E7+F7+G7/3</f>
        <v>0</v>
      </c>
      <c r="K7" t="str">
        <v>النمو المهني التعاوني</v>
      </c>
      <c r="R7">
        <f>O7+P7+Q7/3</f>
        <v>0</v>
      </c>
    </row>
    <row r="8">
      <c r="H8">
        <f>E8+F8+G8/3</f>
        <v>0</v>
      </c>
      <c r="R8">
        <f>O8+P8+Q8/3</f>
        <v>0</v>
      </c>
    </row>
    <row r="9">
      <c r="H9">
        <f>E9+F9+G9/3</f>
        <v>0</v>
      </c>
      <c r="R9">
        <f>O9+P9+Q9/3</f>
        <v>0</v>
      </c>
    </row>
    <row r="10">
      <c r="H10">
        <f>E10+F10+G10/3</f>
        <v>0</v>
      </c>
      <c r="R10">
        <f>O10+P10+Q10/3</f>
        <v>0</v>
      </c>
    </row>
    <row r="11">
      <c r="H11">
        <f>E11+F11+G11/3</f>
        <v>0</v>
      </c>
      <c r="R11">
        <f>O11+P11+Q11/3</f>
        <v>0</v>
      </c>
    </row>
    <row r="12">
      <c r="H12">
        <f>E12+F12+G12/3</f>
        <v>0</v>
      </c>
      <c r="R12">
        <f>O12+P12+Q12/3</f>
        <v>0</v>
      </c>
    </row>
    <row r="13">
      <c r="A13" t="str">
        <v>التطوير المكثف</v>
      </c>
      <c r="H13">
        <f>E13+F13+G13/3</f>
        <v>0</v>
      </c>
      <c r="R13">
        <f>O13+P13+Q13/3</f>
        <v>0</v>
      </c>
    </row>
    <row r="14">
      <c r="H14">
        <f>E14+F14+G14/3</f>
        <v>0</v>
      </c>
      <c r="K14" t="str">
        <v>التطوير المكثف</v>
      </c>
      <c r="R14">
        <f>O14+P14+Q14/3</f>
        <v>0</v>
      </c>
    </row>
    <row r="15">
      <c r="H15">
        <f>E15+F15+G15/3</f>
        <v>0</v>
      </c>
      <c r="R15">
        <f>O15+P15+Q15/3</f>
        <v>0</v>
      </c>
    </row>
    <row r="16">
      <c r="H16">
        <f>E16+F16+G16/3</f>
        <v>0</v>
      </c>
      <c r="R16">
        <f>O16+P16+Q16/3</f>
        <v>0</v>
      </c>
    </row>
    <row r="17">
      <c r="H17">
        <f>E17+F17+G17/3</f>
        <v>0</v>
      </c>
      <c r="R17">
        <f>O17+P17+Q17/3</f>
        <v>0</v>
      </c>
    </row>
    <row r="18">
      <c r="R18">
        <f>O18+P18+Q18/3</f>
        <v>0</v>
      </c>
    </row>
  </sheetData>
  <mergeCells count="18">
    <mergeCell ref="K4:K6"/>
    <mergeCell ref="K7:K13"/>
    <mergeCell ref="K14:K18"/>
    <mergeCell ref="K1:R1"/>
    <mergeCell ref="K2:K3"/>
    <mergeCell ref="L2:L3"/>
    <mergeCell ref="M2:M3"/>
    <mergeCell ref="N2:N3"/>
    <mergeCell ref="O2:R2"/>
    <mergeCell ref="A4:A6"/>
    <mergeCell ref="A7:A12"/>
    <mergeCell ref="A13:A17"/>
    <mergeCell ref="A1:H1"/>
    <mergeCell ref="A2:A3"/>
    <mergeCell ref="B2:B3"/>
    <mergeCell ref="C2:C3"/>
    <mergeCell ref="D2:D3"/>
    <mergeCell ref="E2:H2"/>
  </mergeCells>
  <pageMargins left="0.15748031496062992" right="0.15748031496062992" top="0.7480314960629921" bottom="0.7480314960629921" header="0.31496062992125984" footer="0.31496062992125984"/>
  <ignoredErrors>
    <ignoredError numberStoredAsText="1" sqref="A1:R1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 rightToLeft="1"/>
  </sheetViews>
  <sheetData>
    <row r="1">
      <c r="A1" t="str">
        <v>بيان بعهدة المالية</v>
      </c>
    </row>
    <row r="2">
      <c r="A2" t="str">
        <v>محول دفعة أولى من الشركة</v>
      </c>
      <c r="B2" t="str">
        <v>القسم</v>
      </c>
      <c r="C2" t="str">
        <v>اسم المدير المستلم</v>
      </c>
      <c r="D2" t="str">
        <v>الدفعة الأولى المحولة للمدير</v>
      </c>
      <c r="F2" t="str">
        <v>قيمة التصفية الأولى</v>
      </c>
      <c r="G2" t="str">
        <v>المتبقى من التصفية  الأولى لدى المدير</v>
      </c>
    </row>
    <row r="3">
      <c r="A3">
        <v>10000</v>
      </c>
      <c r="B3" t="str">
        <v>بنين</v>
      </c>
      <c r="C3" t="str">
        <v>محمد العنزي</v>
      </c>
      <c r="D3">
        <v>4500</v>
      </c>
      <c r="E3">
        <v>0</v>
      </c>
      <c r="F3">
        <v>3516.97</v>
      </c>
      <c r="G3">
        <f>(D3+E3)-F3</f>
        <v>983.0300000000002</v>
      </c>
    </row>
    <row r="4">
      <c r="A4" t="str">
        <v>متبقي من المبلغ المحول</v>
      </c>
      <c r="B4" t="str">
        <v>بنات</v>
      </c>
      <c r="C4" t="str">
        <v>حميدة العنزي</v>
      </c>
      <c r="D4">
        <v>3500</v>
      </c>
      <c r="E4">
        <v>0</v>
      </c>
      <c r="F4">
        <v>3423.09</v>
      </c>
      <c r="G4">
        <f>(D4+E4)-F4</f>
        <v>76.90999999999985</v>
      </c>
    </row>
    <row r="5">
      <c r="A5">
        <f>A3-(D3+D4+D5)</f>
        <v>0</v>
      </c>
      <c r="B5" t="str">
        <v>ادارة المجمع</v>
      </c>
      <c r="C5" t="str">
        <v>الجوهرة البالود</v>
      </c>
      <c r="D5">
        <v>2000</v>
      </c>
      <c r="E5">
        <v>0</v>
      </c>
      <c r="F5">
        <v>887.19</v>
      </c>
      <c r="G5">
        <f>(D5+E5)-F5</f>
        <v>1112.81</v>
      </c>
    </row>
    <row r="6">
      <c r="A6" t="str">
        <v>محول دفعة ثانية من الشركة</v>
      </c>
      <c r="B6" t="str">
        <v>المرحلة</v>
      </c>
      <c r="C6" t="str">
        <v>اسم المدير المستلم</v>
      </c>
      <c r="D6" t="str">
        <v>الدفعة الثانية مع المتبقي</v>
      </c>
      <c r="F6" t="str">
        <v>قيمة التصفية الثانية</v>
      </c>
      <c r="G6" t="str">
        <v xml:space="preserve">المتبقى من التصفية  الثانية </v>
      </c>
    </row>
    <row r="7">
      <c r="A7">
        <v>10000</v>
      </c>
      <c r="B7" t="str">
        <v>بنين</v>
      </c>
      <c r="C7" t="str">
        <v>محمد العنزي</v>
      </c>
      <c r="D7">
        <v>5000</v>
      </c>
      <c r="E7">
        <f>G3</f>
        <v>983.0300000000002</v>
      </c>
      <c r="F7">
        <v>4828.32</v>
      </c>
      <c r="G7">
        <f>(D7+E7)-F7</f>
        <v>1154.710000000001</v>
      </c>
    </row>
    <row r="8">
      <c r="A8" t="str">
        <v>متبقي من المبلغ المحول</v>
      </c>
      <c r="B8" t="str">
        <v>بنات</v>
      </c>
      <c r="C8" t="str">
        <v>حميدة العنزي</v>
      </c>
      <c r="D8">
        <v>3500</v>
      </c>
      <c r="E8">
        <f>G4</f>
        <v>76.90999999999985</v>
      </c>
      <c r="F8">
        <v>1682.01</v>
      </c>
      <c r="G8">
        <f>(D8+E8)-F8</f>
        <v>1894.8999999999999</v>
      </c>
    </row>
    <row r="9">
      <c r="A9">
        <f>A7-(D7+D8+D9)</f>
        <v>0</v>
      </c>
      <c r="B9" t="str">
        <v>ادارة المجمع</v>
      </c>
      <c r="C9" t="str">
        <v>الجوهرة البالود</v>
      </c>
      <c r="D9">
        <v>1500</v>
      </c>
      <c r="E9">
        <f>G5</f>
        <v>1112.81</v>
      </c>
      <c r="F9">
        <v>705.18</v>
      </c>
      <c r="G9">
        <f>(D9+E9)-F9</f>
        <v>1907.63</v>
      </c>
    </row>
    <row r="10">
      <c r="A10" t="str">
        <v>محول دفعة ثالثة من الشركة</v>
      </c>
      <c r="B10" t="str">
        <v>المرحلة</v>
      </c>
      <c r="C10" t="str">
        <v>اسم المدير المستلم</v>
      </c>
      <c r="D10" t="str">
        <v>الدفعة الثالثة مع المتبقي</v>
      </c>
      <c r="F10" t="str">
        <v>قيمة التصفية الثالثة</v>
      </c>
      <c r="G10" t="str">
        <v xml:space="preserve">المتبقى من التصفية  الثالثة </v>
      </c>
    </row>
    <row r="11">
      <c r="B11" t="str">
        <v>بنين</v>
      </c>
      <c r="C11" t="str">
        <v>محمد العنزي</v>
      </c>
      <c r="D11">
        <v>7000</v>
      </c>
      <c r="E11">
        <f>G7</f>
        <v>1154.710000000001</v>
      </c>
      <c r="G11">
        <f>(D11+E11)-F11</f>
        <v>8154.710000000001</v>
      </c>
    </row>
    <row r="12">
      <c r="A12" t="str">
        <v>متبقي من المبلغ المحول</v>
      </c>
      <c r="B12" t="str">
        <v>بنات</v>
      </c>
      <c r="C12" t="str">
        <v>حميدة العنزي</v>
      </c>
      <c r="E12">
        <f>G8</f>
        <v>1894.8999999999999</v>
      </c>
      <c r="G12">
        <f>(D12+E12)-F12</f>
        <v>1894.8999999999999</v>
      </c>
    </row>
    <row r="13">
      <c r="A13">
        <f>A11-(D11+D12+D13)</f>
        <v>-7000</v>
      </c>
      <c r="B13" t="str">
        <v>ادارة المجمع</v>
      </c>
      <c r="C13" t="str">
        <v>الجوهرة البالود</v>
      </c>
      <c r="E13">
        <f>G9-2000</f>
        <v>-92.36999999999989</v>
      </c>
      <c r="G13">
        <f>(D13+E13)-F13</f>
        <v>-92.36999999999989</v>
      </c>
    </row>
    <row r="14">
      <c r="A14" t="str">
        <v>محول دفعة رابعة من الشركة</v>
      </c>
      <c r="B14" t="str">
        <v>المرحلة</v>
      </c>
      <c r="C14" t="str">
        <v>اسم المدير المستلم</v>
      </c>
      <c r="D14" t="str">
        <v>الدفعة الثالثة مع المتبقي</v>
      </c>
      <c r="F14" t="str">
        <v>قيمة التصفية الثالثة</v>
      </c>
      <c r="G14" t="str">
        <v xml:space="preserve">المتبقى من التصفية  الثالثة </v>
      </c>
    </row>
    <row r="15">
      <c r="B15" t="str">
        <v>بنين</v>
      </c>
      <c r="C15" t="str">
        <v>محمد العنزي</v>
      </c>
      <c r="G15">
        <f>(D15+E15)-F15</f>
        <v>0</v>
      </c>
    </row>
    <row r="16">
      <c r="A16" t="str">
        <v>متبقي من المبلغ المحول</v>
      </c>
      <c r="B16" t="str">
        <v>بنات</v>
      </c>
      <c r="C16" t="str">
        <v>حميدة العنزي</v>
      </c>
      <c r="G16">
        <f>(D16+E16)-F16</f>
        <v>0</v>
      </c>
    </row>
    <row r="17">
      <c r="A17">
        <f>A15-(D15+D16+D17)</f>
        <v>0</v>
      </c>
      <c r="B17" t="str">
        <v>ادارة المجمع</v>
      </c>
      <c r="C17" t="str">
        <v>الجوهرة البالود</v>
      </c>
      <c r="G17">
        <f>(D17+E17)-F17</f>
        <v>0</v>
      </c>
    </row>
  </sheetData>
  <mergeCells count="5">
    <mergeCell ref="D10:E10"/>
    <mergeCell ref="D14:E14"/>
    <mergeCell ref="A1:G1"/>
    <mergeCell ref="D6:E6"/>
    <mergeCell ref="D2:E2"/>
  </mergeCells>
  <pageMargins left="0.7" right="0.7" top="0.75" bottom="0.75" header="0.3" footer="0.3"/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دليل الملف</vt:lpstr>
      <vt:lpstr>مؤشرات المجمع</vt:lpstr>
      <vt:lpstr>إحصاء الطلاب</vt:lpstr>
      <vt:lpstr>المعلمين</vt:lpstr>
      <vt:lpstr>المعلمات</vt:lpstr>
      <vt:lpstr>إدارة المجمع</vt:lpstr>
      <vt:lpstr>اداريين دار القلم</vt:lpstr>
      <vt:lpstr>اداريات دار القلم</vt:lpstr>
      <vt:lpstr>شواغر دار القلم</vt:lpstr>
      <vt:lpstr>مقارنة النمو</vt:lpstr>
      <vt:lpstr>الإحصاء العام للمجمع</vt:lpstr>
      <vt:lpstr>بيانات رواتب دار القلم</vt:lpstr>
      <vt:lpstr>اسناد بنين ف١</vt:lpstr>
      <vt:lpstr>اسناد البنات ف١</vt:lpstr>
      <vt:lpstr>الطاقة الاستيعابية</vt:lpstr>
      <vt:lpstr>إحصاء التخصصات</vt:lpstr>
      <vt:lpstr>نشاط بنين ف٢</vt:lpstr>
      <vt:lpstr>نشاط بنات ف٢</vt:lpstr>
      <vt:lpstr>الخدمات المساندة</vt:lpstr>
      <vt:lpstr>مساحات الفصول</vt:lpstr>
      <vt:lpstr>القدرات والتحصيلي</vt:lpstr>
      <vt:lpstr>تصنيف العاملين </vt:lpstr>
      <vt:lpstr>العهدة المالية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2006-09-13T11:26:54Z</dcterms:created>
  <dcterms:modified xsi:type="dcterms:W3CDTF">2026-09-04T19:07:31Z</dcterms:modified>
  <cp:lastPrinted>2026-05-13T09:11:01Z</cp:lastPrinted>
</cp:coreProperties>
</file>