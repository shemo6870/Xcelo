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checkCompatibility="1" defaultThemeVersion="124226"/>
  <xr:revisionPtr revIDLastSave="0" documentId="13_ncr:1_{CEF11284-F951-4783-8E39-95591D3D8FA3}" xr6:coauthVersionLast="47" xr6:coauthVersionMax="47" xr10:uidLastSave="{00000000-0000-0000-0000-000000000000}"/>
  <bookViews>
    <workbookView xWindow="-108" yWindow="-108" windowWidth="23256" windowHeight="12576" activeTab="1" xr2:uid="{00000000-000D-0000-FFFF-FFFF00000000}"/>
  </bookViews>
  <sheets>
    <sheet name="دليل الملف" sheetId="8" r:id="rId1"/>
    <sheet name="مؤشرات المجمع" sheetId="7" r:id="rId2"/>
    <sheet name="إحصاء الطلاب" sheetId="3" r:id="rId3"/>
    <sheet name="المعلمين" sheetId="16" r:id="rId4"/>
    <sheet name="المعلمات" sheetId="17" r:id="rId5"/>
    <sheet name="إدارة المجمع" sheetId="75" r:id="rId6"/>
    <sheet name="اداريين دار القلم" sheetId="58" r:id="rId7"/>
    <sheet name="اداريات دار القلم" sheetId="57" r:id="rId8"/>
    <sheet name="شواغر دار القلم" sheetId="67" r:id="rId9"/>
    <sheet name="مقارنة النمو" sheetId="81" r:id="rId10"/>
    <sheet name="الإحصاء العام للمجمع" sheetId="76" r:id="rId11"/>
    <sheet name="بيانات رواتب دار القلم" sheetId="65" r:id="rId12"/>
    <sheet name="اسناد بنين ف١" sheetId="21" r:id="rId13"/>
    <sheet name="اسناد البنات ف١" sheetId="34" r:id="rId14"/>
    <sheet name="الطاقة الاستيعابية" sheetId="5" r:id="rId15"/>
    <sheet name="إحصاء التخصصات" sheetId="23" r:id="rId16"/>
    <sheet name="نشاط بنين ف٢" sheetId="79" r:id="rId17"/>
    <sheet name="نشاط بنات ف٢" sheetId="80" r:id="rId18"/>
    <sheet name="الخدمات المساندة" sheetId="26" r:id="rId19"/>
    <sheet name="مساحات الفصول" sheetId="13" r:id="rId20"/>
    <sheet name="القدرات والتحصيلي" sheetId="47" r:id="rId21"/>
    <sheet name="تصنيف العاملين " sheetId="46" r:id="rId22"/>
    <sheet name="العهدة المالية" sheetId="49" r:id="rId23"/>
  </sheets>
  <definedNames>
    <definedName name="_xlnm._FilterDatabase" localSheetId="15" hidden="1">'إحصاء التخصصات'!#REF!</definedName>
    <definedName name="_xlnm._FilterDatabase" localSheetId="4" hidden="1">المعلمات!$B$3:$M$62</definedName>
    <definedName name="_xlnm._FilterDatabase" localSheetId="3" hidden="1">المعلمين!$B$3:$O$61</definedName>
    <definedName name="_xlnm._FilterDatabase" localSheetId="11" hidden="1">'بيانات رواتب دار القلم'!$A$1:$AI$114</definedName>
    <definedName name="_GoBack" localSheetId="14">'الطاقة الاستيعابية'!#REF!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81" l="1"/>
  <c r="I12" i="81"/>
  <c r="I11" i="81" s="1"/>
  <c r="H12" i="81"/>
  <c r="H11" i="81" s="1"/>
  <c r="G12" i="81"/>
  <c r="G11" i="81" s="1"/>
  <c r="F12" i="81"/>
  <c r="F11" i="81" s="1"/>
  <c r="E12" i="81"/>
  <c r="E11" i="81" s="1"/>
  <c r="D12" i="81"/>
  <c r="D11" i="81" s="1"/>
  <c r="C12" i="81"/>
  <c r="C11" i="81" s="1"/>
  <c r="B12" i="81"/>
  <c r="B11" i="81" s="1"/>
  <c r="J10" i="81"/>
  <c r="J9" i="81"/>
  <c r="J8" i="81"/>
  <c r="J7" i="81"/>
  <c r="I5" i="81"/>
  <c r="H5" i="81"/>
  <c r="G5" i="81"/>
  <c r="F5" i="81"/>
  <c r="E5" i="81"/>
  <c r="D5" i="81"/>
  <c r="C5" i="81"/>
  <c r="B5" i="81"/>
  <c r="J4" i="81"/>
  <c r="J3" i="81"/>
  <c r="G28" i="58"/>
  <c r="G27" i="58"/>
  <c r="G26" i="58"/>
  <c r="G29" i="58" s="1"/>
  <c r="G34" i="57"/>
  <c r="G33" i="57"/>
  <c r="G32" i="57"/>
  <c r="G31" i="57"/>
  <c r="G35" i="57" s="1"/>
  <c r="I25" i="76"/>
  <c r="K14" i="67"/>
  <c r="K13" i="67"/>
  <c r="K12" i="67"/>
  <c r="G13" i="67"/>
  <c r="G14" i="67"/>
  <c r="G12" i="67"/>
  <c r="C13" i="67"/>
  <c r="C14" i="67"/>
  <c r="C15" i="67"/>
  <c r="C16" i="67"/>
  <c r="C17" i="67"/>
  <c r="C12" i="67"/>
  <c r="O5" i="67"/>
  <c r="O4" i="67"/>
  <c r="O3" i="67"/>
  <c r="K4" i="67"/>
  <c r="K5" i="67"/>
  <c r="K3" i="67"/>
  <c r="H8" i="67"/>
  <c r="G8" i="67"/>
  <c r="G7" i="67"/>
  <c r="G6" i="67"/>
  <c r="G5" i="67"/>
  <c r="G3" i="67"/>
  <c r="G4" i="67"/>
  <c r="C4" i="67"/>
  <c r="C5" i="67"/>
  <c r="C3" i="67"/>
  <c r="J5" i="81" l="1"/>
  <c r="J12" i="81"/>
  <c r="J11" i="81" s="1"/>
  <c r="I8" i="67"/>
  <c r="N46" i="3" l="1"/>
  <c r="N47" i="3"/>
  <c r="N48" i="3"/>
  <c r="N49" i="3"/>
  <c r="N50" i="3"/>
  <c r="N51" i="3"/>
  <c r="N52" i="3"/>
  <c r="N29" i="3"/>
  <c r="N30" i="3"/>
  <c r="N31" i="3"/>
  <c r="N33" i="3"/>
  <c r="N34" i="3"/>
  <c r="N35" i="3"/>
  <c r="N36" i="3"/>
  <c r="N37" i="3"/>
  <c r="N38" i="3"/>
  <c r="N39" i="3"/>
  <c r="N40" i="3"/>
  <c r="N41" i="3"/>
  <c r="N42" i="3"/>
  <c r="N44" i="3"/>
  <c r="N45" i="3"/>
  <c r="N7" i="3"/>
  <c r="N8" i="3"/>
  <c r="N9" i="3"/>
  <c r="N10" i="3"/>
  <c r="N11" i="3"/>
  <c r="N12" i="3"/>
  <c r="N13" i="3"/>
  <c r="N14" i="3"/>
  <c r="N15" i="3"/>
  <c r="N16" i="3"/>
  <c r="N18" i="3"/>
  <c r="N19" i="3"/>
  <c r="N20" i="3"/>
  <c r="N21" i="3"/>
  <c r="N22" i="3"/>
  <c r="N23" i="3"/>
  <c r="N25" i="3"/>
  <c r="N26" i="3"/>
  <c r="N27" i="3"/>
  <c r="N4" i="3"/>
  <c r="N5" i="3"/>
  <c r="N3" i="3"/>
  <c r="E42" i="21"/>
  <c r="C42" i="21"/>
  <c r="J24" i="26"/>
  <c r="J23" i="26"/>
  <c r="J22" i="26"/>
  <c r="J68" i="16"/>
  <c r="J67" i="16"/>
  <c r="J66" i="16"/>
  <c r="K14" i="76"/>
  <c r="K13" i="76"/>
  <c r="K12" i="76"/>
  <c r="K11" i="76"/>
  <c r="K10" i="76"/>
  <c r="K9" i="76"/>
  <c r="K8" i="76"/>
  <c r="K5" i="76"/>
  <c r="L57" i="3"/>
  <c r="L55" i="3"/>
  <c r="L58" i="3" s="1"/>
  <c r="E56" i="3" l="1"/>
  <c r="H53" i="3"/>
  <c r="I45" i="3"/>
  <c r="P4" i="67" s="1"/>
  <c r="Q4" i="67" s="1"/>
  <c r="I46" i="3"/>
  <c r="I47" i="3"/>
  <c r="I48" i="3"/>
  <c r="I49" i="3"/>
  <c r="P5" i="67" s="1"/>
  <c r="Q5" i="67" s="1"/>
  <c r="I50" i="3"/>
  <c r="I51" i="3"/>
  <c r="I52" i="3"/>
  <c r="I44" i="3"/>
  <c r="F53" i="3"/>
  <c r="G53" i="3"/>
  <c r="N53" i="3" s="1"/>
  <c r="E53" i="3"/>
  <c r="K53" i="3" s="1"/>
  <c r="M53" i="3" s="1"/>
  <c r="H43" i="3"/>
  <c r="I39" i="3"/>
  <c r="L14" i="67" s="1"/>
  <c r="M14" i="67" s="1"/>
  <c r="I40" i="3"/>
  <c r="I41" i="3"/>
  <c r="I42" i="3"/>
  <c r="J39" i="3" s="1"/>
  <c r="I34" i="3"/>
  <c r="I35" i="3"/>
  <c r="I36" i="3"/>
  <c r="I37" i="3"/>
  <c r="I38" i="3"/>
  <c r="I33" i="3"/>
  <c r="F43" i="3"/>
  <c r="G43" i="3"/>
  <c r="N43" i="3" s="1"/>
  <c r="E43" i="3"/>
  <c r="K43" i="3" s="1"/>
  <c r="I30" i="3"/>
  <c r="L4" i="67" s="1"/>
  <c r="M4" i="67" s="1"/>
  <c r="I31" i="3"/>
  <c r="L5" i="67" s="1"/>
  <c r="M5" i="67" s="1"/>
  <c r="I29" i="3"/>
  <c r="L3" i="67" s="1"/>
  <c r="M3" i="67" s="1"/>
  <c r="F32" i="3"/>
  <c r="G32" i="3"/>
  <c r="H32" i="3"/>
  <c r="E32" i="3"/>
  <c r="K32" i="3" s="1"/>
  <c r="M32" i="3" s="1"/>
  <c r="I26" i="3"/>
  <c r="H13" i="67" s="1"/>
  <c r="I13" i="67" s="1"/>
  <c r="I27" i="3"/>
  <c r="H14" i="67" s="1"/>
  <c r="I14" i="67" s="1"/>
  <c r="I25" i="3"/>
  <c r="H12" i="67" s="1"/>
  <c r="I12" i="67" s="1"/>
  <c r="F28" i="3"/>
  <c r="G28" i="3"/>
  <c r="H28" i="3"/>
  <c r="E28" i="3"/>
  <c r="K28" i="3" s="1"/>
  <c r="M28" i="3" s="1"/>
  <c r="F24" i="3"/>
  <c r="F55" i="3" s="1"/>
  <c r="G24" i="3"/>
  <c r="H24" i="3"/>
  <c r="E24" i="3"/>
  <c r="K24" i="3" s="1"/>
  <c r="M24" i="3" s="1"/>
  <c r="I19" i="3"/>
  <c r="D13" i="67" s="1"/>
  <c r="E13" i="67" s="1"/>
  <c r="I20" i="3"/>
  <c r="D14" i="67" s="1"/>
  <c r="E14" i="67" s="1"/>
  <c r="I21" i="3"/>
  <c r="D15" i="67" s="1"/>
  <c r="E15" i="67" s="1"/>
  <c r="I22" i="3"/>
  <c r="D16" i="67" s="1"/>
  <c r="E16" i="67" s="1"/>
  <c r="I23" i="3"/>
  <c r="D17" i="67" s="1"/>
  <c r="E17" i="67" s="1"/>
  <c r="I18" i="3"/>
  <c r="D12" i="67" s="1"/>
  <c r="E12" i="67" s="1"/>
  <c r="F17" i="3"/>
  <c r="G17" i="3"/>
  <c r="H17" i="3"/>
  <c r="H57" i="3" s="1"/>
  <c r="E17" i="3"/>
  <c r="K17" i="3" s="1"/>
  <c r="E6" i="3"/>
  <c r="F6" i="3"/>
  <c r="F56" i="3" s="1"/>
  <c r="I16" i="3"/>
  <c r="I15" i="3"/>
  <c r="H7" i="67" s="1"/>
  <c r="I7" i="67" s="1"/>
  <c r="I13" i="3"/>
  <c r="H6" i="67" s="1"/>
  <c r="I6" i="67" s="1"/>
  <c r="I11" i="3"/>
  <c r="H5" i="67" s="1"/>
  <c r="I5" i="67" s="1"/>
  <c r="I9" i="3"/>
  <c r="H4" i="67" s="1"/>
  <c r="I4" i="67" s="1"/>
  <c r="I7" i="3"/>
  <c r="H3" i="67" s="1"/>
  <c r="I3" i="67" s="1"/>
  <c r="H6" i="3"/>
  <c r="H56" i="3" s="1"/>
  <c r="G6" i="3"/>
  <c r="N6" i="3" s="1"/>
  <c r="I5" i="3"/>
  <c r="D5" i="67" s="1"/>
  <c r="E5" i="67" s="1"/>
  <c r="I4" i="3"/>
  <c r="D4" i="67" s="1"/>
  <c r="E4" i="67" s="1"/>
  <c r="I3" i="3"/>
  <c r="D3" i="67" s="1"/>
  <c r="E3" i="67" s="1"/>
  <c r="E22" i="76"/>
  <c r="E20" i="76"/>
  <c r="E19" i="76"/>
  <c r="D19" i="76"/>
  <c r="E18" i="76"/>
  <c r="D18" i="76"/>
  <c r="E17" i="76"/>
  <c r="D17" i="76"/>
  <c r="E16" i="76"/>
  <c r="D16" i="76"/>
  <c r="K16" i="76" s="1"/>
  <c r="G17" i="49"/>
  <c r="G16" i="49"/>
  <c r="G15" i="49"/>
  <c r="E8" i="49"/>
  <c r="G8" i="49" s="1"/>
  <c r="E12" i="49" s="1"/>
  <c r="G12" i="49" s="1"/>
  <c r="G4" i="49"/>
  <c r="G5" i="49"/>
  <c r="E9" i="49" s="1"/>
  <c r="G9" i="49" s="1"/>
  <c r="E13" i="49" s="1"/>
  <c r="G13" i="49" s="1"/>
  <c r="G3" i="49"/>
  <c r="E7" i="49" s="1"/>
  <c r="G7" i="49" s="1"/>
  <c r="E11" i="49" s="1"/>
  <c r="G11" i="49" s="1"/>
  <c r="A17" i="49"/>
  <c r="A13" i="49"/>
  <c r="A9" i="49"/>
  <c r="A5" i="49"/>
  <c r="N28" i="3" l="1"/>
  <c r="K57" i="3"/>
  <c r="M57" i="3" s="1"/>
  <c r="M17" i="3"/>
  <c r="N24" i="3"/>
  <c r="N17" i="3"/>
  <c r="F57" i="3"/>
  <c r="J49" i="3"/>
  <c r="H55" i="3"/>
  <c r="N32" i="3"/>
  <c r="L13" i="67"/>
  <c r="M13" i="67" s="1"/>
  <c r="L12" i="67"/>
  <c r="M12" i="67" s="1"/>
  <c r="G15" i="67"/>
  <c r="K6" i="67"/>
  <c r="G9" i="67"/>
  <c r="J44" i="3"/>
  <c r="P3" i="67"/>
  <c r="Q3" i="67" s="1"/>
  <c r="O6" i="67" s="1"/>
  <c r="C18" i="67"/>
  <c r="G55" i="3"/>
  <c r="G56" i="3"/>
  <c r="N56" i="3" s="1"/>
  <c r="C6" i="67"/>
  <c r="K17" i="76"/>
  <c r="D25" i="76" s="1"/>
  <c r="K19" i="76"/>
  <c r="K55" i="3"/>
  <c r="M43" i="3"/>
  <c r="J33" i="3"/>
  <c r="G57" i="3"/>
  <c r="F25" i="76"/>
  <c r="K18" i="76"/>
  <c r="E55" i="3"/>
  <c r="E57" i="3"/>
  <c r="J35" i="3"/>
  <c r="I17" i="3"/>
  <c r="B4" i="7" s="1"/>
  <c r="I6" i="3"/>
  <c r="B3" i="7" s="1"/>
  <c r="I28" i="3"/>
  <c r="B6" i="7" s="1"/>
  <c r="J45" i="3"/>
  <c r="I53" i="3"/>
  <c r="B9" i="7" s="1"/>
  <c r="I43" i="3"/>
  <c r="B8" i="7" s="1"/>
  <c r="I32" i="3"/>
  <c r="B7" i="7" s="1"/>
  <c r="I24" i="3"/>
  <c r="B5" i="7" s="1"/>
  <c r="R58" i="13"/>
  <c r="H58" i="13"/>
  <c r="P57" i="13"/>
  <c r="Q57" i="13" s="1"/>
  <c r="S57" i="13" s="1"/>
  <c r="F57" i="13"/>
  <c r="G57" i="13" s="1"/>
  <c r="I57" i="13" s="1"/>
  <c r="P56" i="13"/>
  <c r="Q56" i="13" s="1"/>
  <c r="S56" i="13" s="1"/>
  <c r="F56" i="13"/>
  <c r="G56" i="13" s="1"/>
  <c r="I56" i="13" s="1"/>
  <c r="P55" i="13"/>
  <c r="Q55" i="13" s="1"/>
  <c r="S55" i="13" s="1"/>
  <c r="F55" i="13"/>
  <c r="G55" i="13" s="1"/>
  <c r="I55" i="13" s="1"/>
  <c r="P54" i="13"/>
  <c r="Q54" i="13" s="1"/>
  <c r="S54" i="13" s="1"/>
  <c r="F54" i="13"/>
  <c r="G54" i="13" s="1"/>
  <c r="I54" i="13" s="1"/>
  <c r="P53" i="13"/>
  <c r="Q53" i="13" s="1"/>
  <c r="S53" i="13" s="1"/>
  <c r="F53" i="13"/>
  <c r="G53" i="13" s="1"/>
  <c r="I53" i="13" s="1"/>
  <c r="P52" i="13"/>
  <c r="Q52" i="13" s="1"/>
  <c r="S52" i="13" s="1"/>
  <c r="F52" i="13"/>
  <c r="G52" i="13" s="1"/>
  <c r="I52" i="13" s="1"/>
  <c r="P51" i="13"/>
  <c r="Q51" i="13" s="1"/>
  <c r="S51" i="13" s="1"/>
  <c r="F51" i="13"/>
  <c r="G51" i="13" s="1"/>
  <c r="I51" i="13" s="1"/>
  <c r="P50" i="13"/>
  <c r="Q50" i="13" s="1"/>
  <c r="S50" i="13" s="1"/>
  <c r="F50" i="13"/>
  <c r="G50" i="13" s="1"/>
  <c r="I50" i="13" s="1"/>
  <c r="P49" i="13"/>
  <c r="Q49" i="13" s="1"/>
  <c r="S49" i="13" s="1"/>
  <c r="F49" i="13"/>
  <c r="G49" i="13" s="1"/>
  <c r="I49" i="13" s="1"/>
  <c r="P48" i="13"/>
  <c r="Q48" i="13" s="1"/>
  <c r="S48" i="13" s="1"/>
  <c r="F48" i="13"/>
  <c r="G48" i="13" s="1"/>
  <c r="I48" i="13" s="1"/>
  <c r="P47" i="13"/>
  <c r="Q47" i="13" s="1"/>
  <c r="S47" i="13" s="1"/>
  <c r="F47" i="13"/>
  <c r="G47" i="13" s="1"/>
  <c r="I47" i="13" s="1"/>
  <c r="P46" i="13"/>
  <c r="Q46" i="13" s="1"/>
  <c r="S46" i="13" s="1"/>
  <c r="F46" i="13"/>
  <c r="G46" i="13" s="1"/>
  <c r="I46" i="13" s="1"/>
  <c r="P45" i="13"/>
  <c r="Q45" i="13" s="1"/>
  <c r="S45" i="13" s="1"/>
  <c r="F45" i="13"/>
  <c r="G45" i="13" s="1"/>
  <c r="I45" i="13" s="1"/>
  <c r="P44" i="13"/>
  <c r="Q44" i="13" s="1"/>
  <c r="S44" i="13" s="1"/>
  <c r="F44" i="13"/>
  <c r="G44" i="13" s="1"/>
  <c r="I44" i="13" s="1"/>
  <c r="P43" i="13"/>
  <c r="Q43" i="13" s="1"/>
  <c r="S43" i="13" s="1"/>
  <c r="F43" i="13"/>
  <c r="G43" i="13" s="1"/>
  <c r="I43" i="13" s="1"/>
  <c r="P42" i="13"/>
  <c r="Q42" i="13" s="1"/>
  <c r="S42" i="13" s="1"/>
  <c r="F42" i="13"/>
  <c r="G42" i="13" s="1"/>
  <c r="I42" i="13" s="1"/>
  <c r="P41" i="13"/>
  <c r="Q41" i="13" s="1"/>
  <c r="S41" i="13" s="1"/>
  <c r="F41" i="13"/>
  <c r="G41" i="13" s="1"/>
  <c r="I41" i="13" s="1"/>
  <c r="P40" i="13"/>
  <c r="Q40" i="13" s="1"/>
  <c r="S40" i="13" s="1"/>
  <c r="F40" i="13"/>
  <c r="G40" i="13" s="1"/>
  <c r="I40" i="13" s="1"/>
  <c r="P39" i="13"/>
  <c r="Q39" i="13" s="1"/>
  <c r="S39" i="13" s="1"/>
  <c r="F39" i="13"/>
  <c r="G39" i="13" s="1"/>
  <c r="I39" i="13" s="1"/>
  <c r="P38" i="13"/>
  <c r="Q38" i="13" s="1"/>
  <c r="S38" i="13" s="1"/>
  <c r="F38" i="13"/>
  <c r="G38" i="13" s="1"/>
  <c r="I38" i="13" s="1"/>
  <c r="P37" i="13"/>
  <c r="Q37" i="13" s="1"/>
  <c r="F37" i="13"/>
  <c r="G37" i="13" s="1"/>
  <c r="R32" i="13"/>
  <c r="H32" i="13"/>
  <c r="P31" i="13"/>
  <c r="Q31" i="13" s="1"/>
  <c r="S31" i="13" s="1"/>
  <c r="F31" i="13"/>
  <c r="G31" i="13" s="1"/>
  <c r="I31" i="13" s="1"/>
  <c r="P30" i="13"/>
  <c r="Q30" i="13" s="1"/>
  <c r="S30" i="13" s="1"/>
  <c r="F30" i="13"/>
  <c r="G30" i="13" s="1"/>
  <c r="I30" i="13" s="1"/>
  <c r="P29" i="13"/>
  <c r="Q29" i="13" s="1"/>
  <c r="S29" i="13" s="1"/>
  <c r="F29" i="13"/>
  <c r="G29" i="13" s="1"/>
  <c r="I29" i="13" s="1"/>
  <c r="P28" i="13"/>
  <c r="Q28" i="13" s="1"/>
  <c r="S28" i="13" s="1"/>
  <c r="F28" i="13"/>
  <c r="G28" i="13" s="1"/>
  <c r="I28" i="13" s="1"/>
  <c r="P27" i="13"/>
  <c r="Q27" i="13" s="1"/>
  <c r="S27" i="13" s="1"/>
  <c r="F27" i="13"/>
  <c r="G27" i="13" s="1"/>
  <c r="I27" i="13" s="1"/>
  <c r="P26" i="13"/>
  <c r="Q26" i="13" s="1"/>
  <c r="S26" i="13" s="1"/>
  <c r="F26" i="13"/>
  <c r="G26" i="13" s="1"/>
  <c r="I26" i="13" s="1"/>
  <c r="P25" i="13"/>
  <c r="Q25" i="13" s="1"/>
  <c r="S25" i="13" s="1"/>
  <c r="F25" i="13"/>
  <c r="G25" i="13" s="1"/>
  <c r="I25" i="13" s="1"/>
  <c r="P24" i="13"/>
  <c r="Q24" i="13" s="1"/>
  <c r="S24" i="13" s="1"/>
  <c r="F24" i="13"/>
  <c r="G24" i="13" s="1"/>
  <c r="I24" i="13" s="1"/>
  <c r="P23" i="13"/>
  <c r="Q23" i="13" s="1"/>
  <c r="S23" i="13" s="1"/>
  <c r="F23" i="13"/>
  <c r="G23" i="13" s="1"/>
  <c r="I23" i="13" s="1"/>
  <c r="P22" i="13"/>
  <c r="Q22" i="13" s="1"/>
  <c r="F22" i="13"/>
  <c r="G22" i="13" s="1"/>
  <c r="R17" i="13"/>
  <c r="H17" i="13"/>
  <c r="P16" i="13"/>
  <c r="Q16" i="13" s="1"/>
  <c r="S16" i="13" s="1"/>
  <c r="F16" i="13"/>
  <c r="G16" i="13" s="1"/>
  <c r="I16" i="13" s="1"/>
  <c r="P15" i="13"/>
  <c r="Q15" i="13" s="1"/>
  <c r="S15" i="13" s="1"/>
  <c r="F15" i="13"/>
  <c r="G15" i="13" s="1"/>
  <c r="I15" i="13" s="1"/>
  <c r="P14" i="13"/>
  <c r="Q14" i="13" s="1"/>
  <c r="S14" i="13" s="1"/>
  <c r="F14" i="13"/>
  <c r="G14" i="13" s="1"/>
  <c r="I14" i="13" s="1"/>
  <c r="P13" i="13"/>
  <c r="Q13" i="13" s="1"/>
  <c r="S13" i="13" s="1"/>
  <c r="F13" i="13"/>
  <c r="G13" i="13" s="1"/>
  <c r="I13" i="13" s="1"/>
  <c r="P12" i="13"/>
  <c r="Q12" i="13" s="1"/>
  <c r="S12" i="13" s="1"/>
  <c r="F12" i="13"/>
  <c r="G12" i="13" s="1"/>
  <c r="I12" i="13" s="1"/>
  <c r="P11" i="13"/>
  <c r="Q11" i="13" s="1"/>
  <c r="S11" i="13" s="1"/>
  <c r="F11" i="13"/>
  <c r="G11" i="13" s="1"/>
  <c r="I11" i="13" s="1"/>
  <c r="P10" i="13"/>
  <c r="Q10" i="13" s="1"/>
  <c r="S10" i="13" s="1"/>
  <c r="F10" i="13"/>
  <c r="G10" i="13" s="1"/>
  <c r="I10" i="13" s="1"/>
  <c r="P9" i="13"/>
  <c r="Q9" i="13" s="1"/>
  <c r="S9" i="13" s="1"/>
  <c r="F9" i="13"/>
  <c r="G9" i="13" s="1"/>
  <c r="I9" i="13" s="1"/>
  <c r="P8" i="13"/>
  <c r="Q8" i="13" s="1"/>
  <c r="S8" i="13" s="1"/>
  <c r="F8" i="13"/>
  <c r="G8" i="13" s="1"/>
  <c r="I8" i="13" s="1"/>
  <c r="P7" i="13"/>
  <c r="Q7" i="13" s="1"/>
  <c r="S7" i="13" s="1"/>
  <c r="F7" i="13"/>
  <c r="G7" i="13" s="1"/>
  <c r="I7" i="13" s="1"/>
  <c r="P6" i="13"/>
  <c r="Q6" i="13" s="1"/>
  <c r="F6" i="13"/>
  <c r="G6" i="13" s="1"/>
  <c r="I6" i="13" s="1"/>
  <c r="P5" i="13"/>
  <c r="Q5" i="13" s="1"/>
  <c r="S5" i="13" s="1"/>
  <c r="F5" i="13"/>
  <c r="G5" i="13" s="1"/>
  <c r="K15" i="67" l="1"/>
  <c r="N55" i="3"/>
  <c r="E25" i="76"/>
  <c r="K25" i="76"/>
  <c r="F10" i="7" s="1"/>
  <c r="E6" i="7"/>
  <c r="F6" i="7"/>
  <c r="E7" i="7"/>
  <c r="F7" i="7"/>
  <c r="D5" i="7"/>
  <c r="E5" i="7"/>
  <c r="F5" i="7"/>
  <c r="I57" i="3"/>
  <c r="N57" i="3"/>
  <c r="E4" i="7"/>
  <c r="F4" i="7"/>
  <c r="I56" i="3"/>
  <c r="C3" i="7"/>
  <c r="B10" i="7"/>
  <c r="E3" i="7"/>
  <c r="F3" i="7"/>
  <c r="K58" i="3"/>
  <c r="M58" i="3" s="1"/>
  <c r="M55" i="3"/>
  <c r="E8" i="7"/>
  <c r="F8" i="7"/>
  <c r="F9" i="7"/>
  <c r="E9" i="7"/>
  <c r="I55" i="3"/>
  <c r="H58" i="3"/>
  <c r="F58" i="3"/>
  <c r="E58" i="3"/>
  <c r="G58" i="3"/>
  <c r="N58" i="3" s="1"/>
  <c r="D8" i="7"/>
  <c r="D6" i="7"/>
  <c r="G17" i="13"/>
  <c r="I5" i="13"/>
  <c r="I17" i="13" s="1"/>
  <c r="I37" i="13"/>
  <c r="I58" i="13" s="1"/>
  <c r="G58" i="13"/>
  <c r="Q58" i="13"/>
  <c r="S37" i="13"/>
  <c r="S58" i="13" s="1"/>
  <c r="I22" i="13"/>
  <c r="I32" i="13" s="1"/>
  <c r="G32" i="13"/>
  <c r="S6" i="13"/>
  <c r="S17" i="13" s="1"/>
  <c r="Q17" i="13"/>
  <c r="S22" i="13"/>
  <c r="S32" i="13" s="1"/>
  <c r="Q32" i="13"/>
  <c r="I58" i="3" l="1"/>
  <c r="F4" i="23"/>
  <c r="F5" i="23"/>
  <c r="F6" i="23"/>
  <c r="F7" i="23"/>
  <c r="F8" i="23"/>
  <c r="F9" i="23"/>
  <c r="F10" i="23"/>
  <c r="F11" i="23"/>
  <c r="F12" i="23"/>
  <c r="F3" i="23"/>
  <c r="E13" i="23"/>
  <c r="D13" i="23"/>
  <c r="F16" i="23"/>
  <c r="F17" i="23"/>
  <c r="F18" i="23"/>
  <c r="F19" i="23"/>
  <c r="F20" i="23"/>
  <c r="F21" i="23"/>
  <c r="F22" i="23"/>
  <c r="F23" i="23"/>
  <c r="F24" i="23"/>
  <c r="F25" i="23"/>
  <c r="F26" i="23"/>
  <c r="F27" i="23"/>
  <c r="F28" i="23"/>
  <c r="F29" i="23"/>
  <c r="F15" i="23"/>
  <c r="D30" i="23"/>
  <c r="E30" i="23"/>
  <c r="C52" i="34"/>
  <c r="C38" i="34"/>
  <c r="C22" i="34"/>
  <c r="C23" i="21"/>
  <c r="K38" i="17"/>
  <c r="K37" i="17"/>
  <c r="K36" i="17"/>
  <c r="K35" i="17"/>
  <c r="J36" i="17"/>
  <c r="D4" i="7" s="1"/>
  <c r="J37" i="17"/>
  <c r="D7" i="7" s="1"/>
  <c r="J38" i="17"/>
  <c r="D9" i="7" s="1"/>
  <c r="J35" i="17"/>
  <c r="D3" i="7" s="1"/>
  <c r="F30" i="23" l="1"/>
  <c r="F13" i="23"/>
  <c r="I39" i="17"/>
  <c r="H39" i="17"/>
  <c r="I69" i="16"/>
  <c r="H69" i="16"/>
  <c r="J69" i="16" l="1"/>
  <c r="H70" i="16"/>
  <c r="J39" i="17"/>
  <c r="K39" i="17"/>
  <c r="E35" i="57"/>
  <c r="D35" i="57"/>
  <c r="F34" i="57"/>
  <c r="C9" i="7" s="1"/>
  <c r="F33" i="57"/>
  <c r="C7" i="7" s="1"/>
  <c r="F32" i="57"/>
  <c r="C4" i="7" s="1"/>
  <c r="F31" i="57"/>
  <c r="F35" i="57" l="1"/>
  <c r="D25" i="26" l="1"/>
  <c r="E25" i="26"/>
  <c r="F25" i="26"/>
  <c r="G25" i="26"/>
  <c r="H25" i="26"/>
  <c r="I25" i="26"/>
  <c r="C25" i="26"/>
  <c r="E29" i="58"/>
  <c r="D29" i="58"/>
  <c r="F28" i="58"/>
  <c r="C8" i="7" s="1"/>
  <c r="F27" i="58"/>
  <c r="C6" i="7" s="1"/>
  <c r="F26" i="58"/>
  <c r="C5" i="7" s="1"/>
  <c r="R18" i="46"/>
  <c r="R17" i="46"/>
  <c r="R16" i="46"/>
  <c r="R15" i="46"/>
  <c r="R14" i="46"/>
  <c r="R13" i="46"/>
  <c r="R12" i="46"/>
  <c r="R11" i="46"/>
  <c r="R10" i="46"/>
  <c r="R9" i="46"/>
  <c r="R8" i="46"/>
  <c r="R7" i="46"/>
  <c r="R6" i="46"/>
  <c r="R5" i="46"/>
  <c r="R4" i="46"/>
  <c r="F29" i="58" l="1"/>
  <c r="J25" i="26"/>
  <c r="H17" i="46" l="1"/>
  <c r="H16" i="46"/>
  <c r="H15" i="46"/>
  <c r="H14" i="46"/>
  <c r="H13" i="46"/>
  <c r="H12" i="46"/>
  <c r="H11" i="46"/>
  <c r="H10" i="46"/>
  <c r="H9" i="46"/>
  <c r="H8" i="46"/>
  <c r="H7" i="46"/>
  <c r="H6" i="46"/>
  <c r="H5" i="46"/>
  <c r="H4" i="46"/>
  <c r="C8" i="5" l="1"/>
  <c r="C6" i="5"/>
  <c r="C10" i="5" l="1"/>
  <c r="D3" i="5" l="1"/>
  <c r="E3" i="5" s="1"/>
  <c r="D8" i="5"/>
  <c r="E8" i="5" s="1"/>
  <c r="D9" i="5"/>
  <c r="E9" i="5" l="1"/>
  <c r="D5" i="5" l="1"/>
  <c r="E5" i="5" s="1"/>
  <c r="D6" i="5"/>
  <c r="E6" i="5" s="1"/>
  <c r="D7" i="5"/>
  <c r="E7" i="5" s="1"/>
  <c r="D10" i="5" l="1"/>
  <c r="E10" i="5" s="1"/>
  <c r="E10" i="7" l="1"/>
  <c r="C10" i="7"/>
  <c r="D10" i="7"/>
</calcChain>
</file>

<file path=xl/sharedStrings.xml><?xml version="1.0" encoding="utf-8"?>
<sst xmlns="http://schemas.openxmlformats.org/spreadsheetml/2006/main" count="4853" uniqueCount="1786">
  <si>
    <t>المرحلة</t>
  </si>
  <si>
    <t>الجنس</t>
  </si>
  <si>
    <t>تمهيدي</t>
  </si>
  <si>
    <t>بنات</t>
  </si>
  <si>
    <t>ابتدائي</t>
  </si>
  <si>
    <t>بنين</t>
  </si>
  <si>
    <t>متوسط</t>
  </si>
  <si>
    <t>ثانوي</t>
  </si>
  <si>
    <t>المجموع</t>
  </si>
  <si>
    <t>حارس</t>
  </si>
  <si>
    <t>الصف</t>
  </si>
  <si>
    <t>عدد الفصول</t>
  </si>
  <si>
    <t>سعودي</t>
  </si>
  <si>
    <t>غير سعودي</t>
  </si>
  <si>
    <t>الأول</t>
  </si>
  <si>
    <t>الثاني</t>
  </si>
  <si>
    <t>الثالث</t>
  </si>
  <si>
    <t>الرابع</t>
  </si>
  <si>
    <t>الخامس</t>
  </si>
  <si>
    <t>السادس</t>
  </si>
  <si>
    <t>مجموع مرحلة التمهيدي</t>
  </si>
  <si>
    <t>مجموع متوسط بنين</t>
  </si>
  <si>
    <t>مجموع متوسط بنات</t>
  </si>
  <si>
    <t>مجموع ثانوي بنين</t>
  </si>
  <si>
    <t>مجموع ثانوي بنات</t>
  </si>
  <si>
    <t>القسم</t>
  </si>
  <si>
    <t>ملاحظات</t>
  </si>
  <si>
    <t>رياض الأطفال</t>
  </si>
  <si>
    <t>الابتدائية</t>
  </si>
  <si>
    <t>المتوسطة</t>
  </si>
  <si>
    <t>الثانوية</t>
  </si>
  <si>
    <t>الطاقة الاستيعابية الكاملة للمرحلة</t>
  </si>
  <si>
    <t>الاستيعاب الحالي  للمرحلة</t>
  </si>
  <si>
    <t>النسبة الحالية المستخدمة من الطاقة الاستيعابية للمرحلة</t>
  </si>
  <si>
    <t>ادارة المجمع</t>
  </si>
  <si>
    <t xml:space="preserve">المجموع </t>
  </si>
  <si>
    <t>م1</t>
  </si>
  <si>
    <t>م2</t>
  </si>
  <si>
    <t>م3</t>
  </si>
  <si>
    <t>احصائية الطلاب والفصول والجنسية</t>
  </si>
  <si>
    <t xml:space="preserve"> المرحلة</t>
  </si>
  <si>
    <t>عدد الطلاب</t>
  </si>
  <si>
    <t>ابتدائي بنات</t>
  </si>
  <si>
    <t>متوسط بنين</t>
  </si>
  <si>
    <t>متوسط بنات</t>
  </si>
  <si>
    <t>ثانوي بنين</t>
  </si>
  <si>
    <t>ثانوي بنات</t>
  </si>
  <si>
    <t>رقم الموظف</t>
  </si>
  <si>
    <t>رقم الهوية</t>
  </si>
  <si>
    <t>الجنسية</t>
  </si>
  <si>
    <t>المؤهل</t>
  </si>
  <si>
    <t>التخصص</t>
  </si>
  <si>
    <t>موجه طلابي</t>
  </si>
  <si>
    <t>لغة عربية</t>
  </si>
  <si>
    <t>بكالوريوس علوم وتربية</t>
  </si>
  <si>
    <t xml:space="preserve">رياضيات </t>
  </si>
  <si>
    <t>بكالوريوس رياضيات</t>
  </si>
  <si>
    <t>رياضيات</t>
  </si>
  <si>
    <t>انجليزي</t>
  </si>
  <si>
    <t>بكالوريوس تربية رياضية</t>
  </si>
  <si>
    <t>بدنية</t>
  </si>
  <si>
    <t>بكالوريوس نظم معلومات</t>
  </si>
  <si>
    <t>فنية</t>
  </si>
  <si>
    <t>بكالوريوس</t>
  </si>
  <si>
    <t>علم نفس</t>
  </si>
  <si>
    <t>بكالوريوس اجتماع</t>
  </si>
  <si>
    <t>معلم</t>
  </si>
  <si>
    <t>بكالوريوس علوم</t>
  </si>
  <si>
    <t>علوم</t>
  </si>
  <si>
    <t>بكالوريوس دين</t>
  </si>
  <si>
    <t>اصول دين</t>
  </si>
  <si>
    <t>وكيل</t>
  </si>
  <si>
    <t>رائد نشاط</t>
  </si>
  <si>
    <t>محمد مصطفى سنهابي</t>
  </si>
  <si>
    <t>بكالوريوس دار علوم</t>
  </si>
  <si>
    <t>فريج السعيد كمال محمد</t>
  </si>
  <si>
    <t>فيزياء وكيمياء</t>
  </si>
  <si>
    <t>كيمياء</t>
  </si>
  <si>
    <t>ليسانس اداب وتربية</t>
  </si>
  <si>
    <t>لغة انجليزية</t>
  </si>
  <si>
    <t>ليسانس اداب</t>
  </si>
  <si>
    <t>حسين علي محمد عبدالحميد</t>
  </si>
  <si>
    <t>تربية رياضية</t>
  </si>
  <si>
    <t>أحياء</t>
  </si>
  <si>
    <t>المادة</t>
  </si>
  <si>
    <t>فيزياء</t>
  </si>
  <si>
    <t>المعلم</t>
  </si>
  <si>
    <t>عدد حصص المعلم بالمدرسة</t>
  </si>
  <si>
    <t>إجمالي نصاب المعلم</t>
  </si>
  <si>
    <t>إجمالي الحصص</t>
  </si>
  <si>
    <t>خالد سعد سعود المطيري</t>
  </si>
  <si>
    <t>اجتماعيات</t>
  </si>
  <si>
    <t>حسن محمد حسن السيد</t>
  </si>
  <si>
    <t>م</t>
  </si>
  <si>
    <t>بيان بمساحات الفصول وأعداد الطالبات</t>
  </si>
  <si>
    <t>بيان بمساحات الفصول وأعداد الطلاب</t>
  </si>
  <si>
    <t>ابتدائي بنين</t>
  </si>
  <si>
    <t>رقم الغرفة</t>
  </si>
  <si>
    <t>المساحة</t>
  </si>
  <si>
    <t>الطاقة الاستيعابية</t>
  </si>
  <si>
    <t>عدد الطالبات الفعلي</t>
  </si>
  <si>
    <t>عدد الطلاب الفعلي</t>
  </si>
  <si>
    <t>الطول</t>
  </si>
  <si>
    <t>العرض</t>
  </si>
  <si>
    <t>متوسطة بنات</t>
  </si>
  <si>
    <t>إجمالي الطاقة الاستيعابية للثانوي</t>
  </si>
  <si>
    <t>اسم الموظف</t>
  </si>
  <si>
    <t>الفرع</t>
  </si>
  <si>
    <t>تاريخ المباشرة</t>
  </si>
  <si>
    <t>تاريخ التعيين</t>
  </si>
  <si>
    <t>الوظيفة</t>
  </si>
  <si>
    <t>المنطقة</t>
  </si>
  <si>
    <t>نعم</t>
  </si>
  <si>
    <t>السعودية</t>
  </si>
  <si>
    <t>الرياض</t>
  </si>
  <si>
    <t>طاقم تعليمي</t>
  </si>
  <si>
    <t>92</t>
  </si>
  <si>
    <t>ابراهيم عبدرب النبي عبدالسلام شبكه</t>
  </si>
  <si>
    <t>مصر</t>
  </si>
  <si>
    <t>ذكر</t>
  </si>
  <si>
    <t>الفلبين</t>
  </si>
  <si>
    <t>سائق</t>
  </si>
  <si>
    <t>نيبالي</t>
  </si>
  <si>
    <t>81</t>
  </si>
  <si>
    <t>57</t>
  </si>
  <si>
    <t>حسين علي محمد عبدالحميد عويضة</t>
  </si>
  <si>
    <t>بنجلاديش</t>
  </si>
  <si>
    <t>83</t>
  </si>
  <si>
    <t>محضرة مختبر</t>
  </si>
  <si>
    <t>2529</t>
  </si>
  <si>
    <t>سعود محمد فيحان المطيري</t>
  </si>
  <si>
    <t>الهند</t>
  </si>
  <si>
    <t>السودان</t>
  </si>
  <si>
    <t>100</t>
  </si>
  <si>
    <t>فريج السعيد كمال محمد رزق</t>
  </si>
  <si>
    <t>93</t>
  </si>
  <si>
    <t>قصي حسن حسن زقزاق</t>
  </si>
  <si>
    <t>مساعد إداري</t>
  </si>
  <si>
    <t>سوريا</t>
  </si>
  <si>
    <t>132</t>
  </si>
  <si>
    <t>محمد احمد عبدالله عبد الفتاح</t>
  </si>
  <si>
    <t>99</t>
  </si>
  <si>
    <t>محمد متولى محمد حسن</t>
  </si>
  <si>
    <t>165</t>
  </si>
  <si>
    <t>محمد مفرح عبد العالي العنزي</t>
  </si>
  <si>
    <t>رياض اطفال</t>
  </si>
  <si>
    <t>90</t>
  </si>
  <si>
    <t>وسيم عبد ربه عبد ربه خير</t>
  </si>
  <si>
    <t>ياسر علوانى حفنى حسن</t>
  </si>
  <si>
    <t>إدارة المجمع</t>
  </si>
  <si>
    <t>منسق تعليمي</t>
  </si>
  <si>
    <t>نورة محمد عاتق العتيبي</t>
  </si>
  <si>
    <t xml:space="preserve">المرحلة </t>
  </si>
  <si>
    <t>اهلي</t>
  </si>
  <si>
    <t>تربية خاصة</t>
  </si>
  <si>
    <t>مساعد اداري</t>
  </si>
  <si>
    <t>احياء</t>
  </si>
  <si>
    <t>مدخل بيانات</t>
  </si>
  <si>
    <t>محضر مختبر</t>
  </si>
  <si>
    <t>حاسب</t>
  </si>
  <si>
    <r>
      <t xml:space="preserve">           حساب الهيئة الإدارية بالنسبة للطلاب  Students Administrative Staff Ratio </t>
    </r>
    <r>
      <rPr>
        <b/>
        <sz val="14"/>
        <color theme="5" tint="-0.249977111117893"/>
        <rFont val="Traditional Arabic"/>
        <family val="1"/>
      </rPr>
      <t>SAR</t>
    </r>
  </si>
  <si>
    <r>
      <t xml:space="preserve">حساب الهيئة التعليمية بالنسبة للطلاب Students Teaching Ratio  </t>
    </r>
    <r>
      <rPr>
        <b/>
        <sz val="14"/>
        <color theme="5" tint="-0.249977111117893"/>
        <rFont val="Traditional Arabic"/>
        <family val="1"/>
      </rPr>
      <t>STR</t>
    </r>
  </si>
  <si>
    <r>
      <t xml:space="preserve">حساب طاقم المجمع بالنسبة للطلاب Students Everyone Ratio  </t>
    </r>
    <r>
      <rPr>
        <b/>
        <sz val="14"/>
        <color theme="5" tint="-0.249977111117893"/>
        <rFont val="Traditional Arabic"/>
        <family val="1"/>
      </rPr>
      <t>SER</t>
    </r>
  </si>
  <si>
    <t>الحصص حسب الخطة</t>
  </si>
  <si>
    <t>عدد الحصص بالمرحلة</t>
  </si>
  <si>
    <t>معدل توزيع الحصص</t>
  </si>
  <si>
    <t>عدد المعلمين</t>
  </si>
  <si>
    <t>بيانات  المعلمين ( جميع المراحل )</t>
  </si>
  <si>
    <t>اسم الموظف رباعي</t>
  </si>
  <si>
    <t>رقم الجوال</t>
  </si>
  <si>
    <t>الإيميل</t>
  </si>
  <si>
    <t xml:space="preserve">الوظيفة </t>
  </si>
  <si>
    <t>نصاب المعلم</t>
  </si>
  <si>
    <t>Khaled.Almutairi@altanmiyah.edu.sa</t>
  </si>
  <si>
    <t>H.Alsayed@altanmiyah.edu.sa</t>
  </si>
  <si>
    <t>Q.Zaqzaq@altanmiyah.edu.sa</t>
  </si>
  <si>
    <t>M.Sanhabi@altanmiyah.edu.sa</t>
  </si>
  <si>
    <t>وسيم عبد ربه عبد ربه خيرالله</t>
  </si>
  <si>
    <t>W.Khair@altanmiyah.edu.sa</t>
  </si>
  <si>
    <t>F.Rizq@altanmiyah.edu.sa</t>
  </si>
  <si>
    <t>محمد متولي محمد حسن</t>
  </si>
  <si>
    <t>M.Mitwali@altanmiyah.edu.sa</t>
  </si>
  <si>
    <t>H.Awaida@altanmiyah.edu.sa</t>
  </si>
  <si>
    <t>m.abulfattah@altanmiyah.edu.sa</t>
  </si>
  <si>
    <t>بيانات  المعلمات ( جميع المراحل )</t>
  </si>
  <si>
    <t>اسم الموظفة رباعي</t>
  </si>
  <si>
    <t>رياض أطفال</t>
  </si>
  <si>
    <t xml:space="preserve">بكالوريوس </t>
  </si>
  <si>
    <t xml:space="preserve">اجتماعيات </t>
  </si>
  <si>
    <t>ماجستير</t>
  </si>
  <si>
    <t>اسرية</t>
  </si>
  <si>
    <t xml:space="preserve">لغة عربية </t>
  </si>
  <si>
    <t>محمد مفرح عبدالعالي العنزي</t>
  </si>
  <si>
    <t>مدير مرحلة</t>
  </si>
  <si>
    <t>M.Mufreh@altanmiyah.edu.sa</t>
  </si>
  <si>
    <t>saud.almutairi@altanmiyah.edu.sa</t>
  </si>
  <si>
    <t>إداريات المرحلة الثانوية بنات</t>
  </si>
  <si>
    <t>إداريات رياض الأطفال</t>
  </si>
  <si>
    <t>إداريات المرحلة الابتدائية بنات</t>
  </si>
  <si>
    <t>إداريات المرحلة المتوسطة بنات</t>
  </si>
  <si>
    <t>اسنادات متوسط</t>
  </si>
  <si>
    <t>إجمالي نصاب المعلم بعد الاكمال</t>
  </si>
  <si>
    <t>دراسات إسلامية</t>
  </si>
  <si>
    <t>اسنادات ثانوي</t>
  </si>
  <si>
    <t>الإسناد</t>
  </si>
  <si>
    <t>مصطفى فتحي</t>
  </si>
  <si>
    <t>3072</t>
  </si>
  <si>
    <t>مصطفى فتحى سيد احمد</t>
  </si>
  <si>
    <t>3068</t>
  </si>
  <si>
    <t>محمد على ابراهيم احمد</t>
  </si>
  <si>
    <t>عدد المعلمات</t>
  </si>
  <si>
    <t>إدارة المجمعات التعليمية</t>
  </si>
  <si>
    <t>هيئة ادارية</t>
  </si>
  <si>
    <t>محمد مصطفي محمد سنهابي</t>
  </si>
  <si>
    <t>مدير مجمع</t>
  </si>
  <si>
    <t>تربية فنية</t>
  </si>
  <si>
    <t xml:space="preserve">حاسب الي </t>
  </si>
  <si>
    <t xml:space="preserve">كيمياء </t>
  </si>
  <si>
    <t>مجموع</t>
  </si>
  <si>
    <t>اسنادات ابتدائي</t>
  </si>
  <si>
    <t>بيانات الخدمات المساندة</t>
  </si>
  <si>
    <t>الجوال</t>
  </si>
  <si>
    <t>الوظيفة / المرحلة</t>
  </si>
  <si>
    <t>عامل نظافة</t>
  </si>
  <si>
    <t>الاجمالي</t>
  </si>
  <si>
    <t>مرحلة</t>
  </si>
  <si>
    <t>سعودية</t>
  </si>
  <si>
    <t>غير سعودية</t>
  </si>
  <si>
    <t>ر.الهويه</t>
  </si>
  <si>
    <t>تاريخ الميلاد</t>
  </si>
  <si>
    <t>الوظيفة الحالية</t>
  </si>
  <si>
    <t>الفئة الوظيفية</t>
  </si>
  <si>
    <t>الجنسيـــــــة</t>
  </si>
  <si>
    <t>IBAN</t>
  </si>
  <si>
    <t>طريقة الدفع</t>
  </si>
  <si>
    <t>علي رأس العمل</t>
  </si>
  <si>
    <t>البريد الالكتروني</t>
  </si>
  <si>
    <t>مدارس رائدة السلام</t>
  </si>
  <si>
    <t>2295980011</t>
  </si>
  <si>
    <t>21</t>
  </si>
  <si>
    <t>لا يوجد</t>
  </si>
  <si>
    <t>مفعل</t>
  </si>
  <si>
    <t>مقيم تأمينات</t>
  </si>
  <si>
    <t>SA7805000068204498681000</t>
  </si>
  <si>
    <t>بنك الانماء</t>
  </si>
  <si>
    <t>بنك</t>
  </si>
  <si>
    <t>بدون عمولة</t>
  </si>
  <si>
    <t>595617259</t>
  </si>
  <si>
    <t>2295980011@al-tanmiah.com</t>
  </si>
  <si>
    <t>2459416059</t>
  </si>
  <si>
    <t>SA2305000068204497647000</t>
  </si>
  <si>
    <t>590775476</t>
  </si>
  <si>
    <t>2459416059@al-tanmiah.com</t>
  </si>
  <si>
    <t>2382315600</t>
  </si>
  <si>
    <t>SA3205000068204500377000</t>
  </si>
  <si>
    <t>541567650</t>
  </si>
  <si>
    <t>2382315600@al-tanmiah.com</t>
  </si>
  <si>
    <t>1077677175</t>
  </si>
  <si>
    <t>سعودي تأمينات</t>
  </si>
  <si>
    <t>SA4305000068204499284000</t>
  </si>
  <si>
    <t>599979305</t>
  </si>
  <si>
    <t>1077677175@al-tanmiah.com</t>
  </si>
  <si>
    <t>2353869387</t>
  </si>
  <si>
    <t>SA3405000068204495972000</t>
  </si>
  <si>
    <t>0569270288</t>
  </si>
  <si>
    <t>2353869387@al-tanmiah.com</t>
  </si>
  <si>
    <t>2108240462</t>
  </si>
  <si>
    <t>SA4805000068204528769000</t>
  </si>
  <si>
    <t>508901528</t>
  </si>
  <si>
    <t>2108240462@al-tanmiah.com</t>
  </si>
  <si>
    <t>2295725507</t>
  </si>
  <si>
    <t>SA8505000068204498929000</t>
  </si>
  <si>
    <t>532811458</t>
  </si>
  <si>
    <t>2295725507@al-tanmiah.com</t>
  </si>
  <si>
    <t>2397060761</t>
  </si>
  <si>
    <t>SA3005000068204495373000</t>
  </si>
  <si>
    <t>558231985</t>
  </si>
  <si>
    <t>2397060761@al-tanmiah.com</t>
  </si>
  <si>
    <t>2422266433</t>
  </si>
  <si>
    <t>SA0205000068204497582000</t>
  </si>
  <si>
    <t>593544970</t>
  </si>
  <si>
    <t>2422266433@al-tanmiah.com</t>
  </si>
  <si>
    <t>2372202024</t>
  </si>
  <si>
    <t>114</t>
  </si>
  <si>
    <t>SA1205000068204495636000</t>
  </si>
  <si>
    <t>531504194</t>
  </si>
  <si>
    <t>2372202024@al-tanmiah.com</t>
  </si>
  <si>
    <t>2323205456</t>
  </si>
  <si>
    <t>SA6305000068203004405000</t>
  </si>
  <si>
    <t>563172158</t>
  </si>
  <si>
    <t>2323205456@al-tanmiah.com</t>
  </si>
  <si>
    <t>1086111679</t>
  </si>
  <si>
    <t>SA5105000068201038691001</t>
  </si>
  <si>
    <t>545386278</t>
  </si>
  <si>
    <t>1086111679@al-tanmiah.com</t>
  </si>
  <si>
    <t>عامل</t>
  </si>
  <si>
    <t>1081571646</t>
  </si>
  <si>
    <t>SA9405000068204496906000</t>
  </si>
  <si>
    <t>558158466</t>
  </si>
  <si>
    <t>alsdsd168@gmail.com</t>
  </si>
  <si>
    <t>3132283767@altanmiyah.edu.sa</t>
  </si>
  <si>
    <t>3132284047@altanmiyah.edu.sa</t>
  </si>
  <si>
    <t xml:space="preserve">بدنية </t>
  </si>
  <si>
    <t>متقدم</t>
  </si>
  <si>
    <t>خبير</t>
  </si>
  <si>
    <t>محترف</t>
  </si>
  <si>
    <t>اسم المعلم</t>
  </si>
  <si>
    <t>النمو المهني التعاوني</t>
  </si>
  <si>
    <t>التطوير المكثف</t>
  </si>
  <si>
    <t>النمو الذاتي</t>
  </si>
  <si>
    <t>معدل تقييم أداء المعلم</t>
  </si>
  <si>
    <t>خبرة المعلم</t>
  </si>
  <si>
    <t>جديد</t>
  </si>
  <si>
    <t>التصنيف</t>
  </si>
  <si>
    <t>معدل تقييم أداء المعلمة</t>
  </si>
  <si>
    <t>خبرة المعلمة</t>
  </si>
  <si>
    <t>اسم المعلمة</t>
  </si>
  <si>
    <t>التقييم
 النهائي للمعلمة</t>
  </si>
  <si>
    <t>معدل أداء
 الفصل الأول</t>
  </si>
  <si>
    <t>معدل أداء 
الفصل الثاني</t>
  </si>
  <si>
    <t>معدل أداء 
الفصل الثالث</t>
  </si>
  <si>
    <t>التقييم
 النهائي للمعلم</t>
  </si>
  <si>
    <t>عام</t>
  </si>
  <si>
    <t>صحة</t>
  </si>
  <si>
    <t>ادارة</t>
  </si>
  <si>
    <t>بيان بمتوسط درجة المدرسة في اختبار القدرات والتحصيلي</t>
  </si>
  <si>
    <t>العام</t>
  </si>
  <si>
    <t>نوع الاختبار</t>
  </si>
  <si>
    <t>متوسط الدرجة</t>
  </si>
  <si>
    <t>ترتيب المدرسة على مستوى المملكة</t>
  </si>
  <si>
    <t>ترتيب المدرسة على مستوى ادارة التعليم</t>
  </si>
  <si>
    <t>ترتيب المدرسة على مستوى مكتب التعليم</t>
  </si>
  <si>
    <t>اسم مكتب التعليم</t>
  </si>
  <si>
    <t>المؤشر العام لترتيب المدرسة</t>
  </si>
  <si>
    <t>مدرسة</t>
  </si>
  <si>
    <t>مكتب التعليم</t>
  </si>
  <si>
    <t>ادارة تعليم</t>
  </si>
  <si>
    <t>ترتيب المدرسة</t>
  </si>
  <si>
    <t>عدد مدارس المملكة</t>
  </si>
  <si>
    <t>مؤشر ترتيب المدرسة</t>
  </si>
  <si>
    <t>عدد مدارس الادارة</t>
  </si>
  <si>
    <t>عدد مدارس المكتب</t>
  </si>
  <si>
    <t>قدرات</t>
  </si>
  <si>
    <t>متذبذب</t>
  </si>
  <si>
    <t>النسيم</t>
  </si>
  <si>
    <t>الروابي</t>
  </si>
  <si>
    <t>تحصيلي</t>
  </si>
  <si>
    <t>الرقم الوزاري</t>
  </si>
  <si>
    <t>3072@ALTANMIYAH.EDU.SA</t>
  </si>
  <si>
    <t>3068@ALTANMIYAH.EDU.SA</t>
  </si>
  <si>
    <t>ملاحظة : مدارس المجمع ( بنين - بنات ) خارج قائمة المدارس الأعلى أداء ( 100 مدرسة)</t>
  </si>
  <si>
    <t>اسم المدير المستلم</t>
  </si>
  <si>
    <t>قيمة التصفية الأولى</t>
  </si>
  <si>
    <t>محمد العنزي</t>
  </si>
  <si>
    <t>المتبقى من التصفية  الأولى لدى المدير</t>
  </si>
  <si>
    <t>قيمة التصفية الثانية</t>
  </si>
  <si>
    <t>محول دفعة أولى من الشركة</t>
  </si>
  <si>
    <t>قيمة التصفية الثالثة</t>
  </si>
  <si>
    <t>الدفعة الأولى المحولة للمدير</t>
  </si>
  <si>
    <t>صعوبات تعلم</t>
  </si>
  <si>
    <t xml:space="preserve"> اداريات بنات كأفراد </t>
  </si>
  <si>
    <t>إجمالي الخدمات المساندة أفراد</t>
  </si>
  <si>
    <t>مديرة مجمع</t>
  </si>
  <si>
    <t>سكرتير مدير مجمع</t>
  </si>
  <si>
    <t>اسلاميات</t>
  </si>
  <si>
    <t>حاسب الي</t>
  </si>
  <si>
    <t>التبعية</t>
  </si>
  <si>
    <t>العدد بالبنين</t>
  </si>
  <si>
    <t>العدد بالبنات</t>
  </si>
  <si>
    <t>اجمالي المجمع</t>
  </si>
  <si>
    <t>اليمن</t>
  </si>
  <si>
    <t>SA4205000068204870523000</t>
  </si>
  <si>
    <t>SA6405000068204871635000</t>
  </si>
  <si>
    <t xml:space="preserve">إجمالي المعلمات </t>
  </si>
  <si>
    <t>شركة التنمية المتكاملة للتعليم والتدريب</t>
  </si>
  <si>
    <t>2555224241</t>
  </si>
  <si>
    <t>2555225339</t>
  </si>
  <si>
    <t>تسجيل وتحصيل</t>
  </si>
  <si>
    <t>مقيم بدون تأمينات</t>
  </si>
  <si>
    <t>الأردن</t>
  </si>
  <si>
    <t>مقيم أجير</t>
  </si>
  <si>
    <t>570578529</t>
  </si>
  <si>
    <t>570338992</t>
  </si>
  <si>
    <t>الإجمالي</t>
  </si>
  <si>
    <t>خالد سعود عجيز العتيبي</t>
  </si>
  <si>
    <t>4033@altanmiyah.edu.sa</t>
  </si>
  <si>
    <t>وكيلة</t>
  </si>
  <si>
    <t>مصرية</t>
  </si>
  <si>
    <t xml:space="preserve">لغة انجليزية </t>
  </si>
  <si>
    <t xml:space="preserve">حاسب </t>
  </si>
  <si>
    <t>ماهي جابر احمد منصور</t>
  </si>
  <si>
    <t>mahy87ahmed@gmail.com</t>
  </si>
  <si>
    <t>أثير محمد بن سعد الحربي</t>
  </si>
  <si>
    <t>atheer.alharbi@altanmiyah.edu.sa</t>
  </si>
  <si>
    <t>ساره فهد عبدالله العجمي</t>
  </si>
  <si>
    <t>s.alajmi@altanmiyah.edu.sa</t>
  </si>
  <si>
    <t>نوف سليمان بن علي العتيبي</t>
  </si>
  <si>
    <t>Nouf.alotaibi@altanmiyah.edu.sa</t>
  </si>
  <si>
    <t>منى مقبل بن عبد العزيز الخلف</t>
  </si>
  <si>
    <t>M.Alkhalaf@altanmiyah.edu.sa</t>
  </si>
  <si>
    <t xml:space="preserve">احياء </t>
  </si>
  <si>
    <t>ايمان احمد عبدالمجيد عبدالفتاح</t>
  </si>
  <si>
    <t>بدور نشاء دخيل الله البقمي</t>
  </si>
  <si>
    <t>3409@altanmiyah.edu.sa</t>
  </si>
  <si>
    <t>هدى عواض ظافر البكري</t>
  </si>
  <si>
    <t>تصوير تشكيلي و طباعة</t>
  </si>
  <si>
    <t>عهود فالح بن فاتل الرويلي</t>
  </si>
  <si>
    <t>o.alruwaili@altanmiyah.edu.sa</t>
  </si>
  <si>
    <t>نوف عائش بن شليويح الزلفي</t>
  </si>
  <si>
    <t>N.ALZULFI@ALTanmiyah.edu.sa</t>
  </si>
  <si>
    <t>نهال سليمان محمد الشبرمي</t>
  </si>
  <si>
    <t>3207@altanmiyah.edu.sa</t>
  </si>
  <si>
    <t>نوره صالح محمد السجاء</t>
  </si>
  <si>
    <t>N.alsajaa@altanmiyah.edu.sa</t>
  </si>
  <si>
    <t>ملابس ونسيج</t>
  </si>
  <si>
    <t>نوف سبتي راجي العنزي</t>
  </si>
  <si>
    <t>سلطانه مدعث عوانان البقمي</t>
  </si>
  <si>
    <t>S.Albaqmi@altanmiyah.edu.sa</t>
  </si>
  <si>
    <t>أمينه صالح معيتق الحربي</t>
  </si>
  <si>
    <t>ريم محمد بعيجان الحربي</t>
  </si>
  <si>
    <t>3213@altanmiyah.edu.sa</t>
  </si>
  <si>
    <t>دراسات اسلامية</t>
  </si>
  <si>
    <t>أمل سلمان عبيد العنزي</t>
  </si>
  <si>
    <t>ادب انجليزي</t>
  </si>
  <si>
    <t>أماني فهمي جمال لاشين</t>
  </si>
  <si>
    <t>2581547557</t>
  </si>
  <si>
    <t>نورا مجدي جلال محمود</t>
  </si>
  <si>
    <t>كوثر محمد شفيق جلال</t>
  </si>
  <si>
    <t>رقم وظيفي</t>
  </si>
  <si>
    <t>نوره منصور بن هجرس العتيبي</t>
  </si>
  <si>
    <t>موجهة طلابية</t>
  </si>
  <si>
    <t>Noura.alotaibi@altanmiyah.edu.sa</t>
  </si>
  <si>
    <t>خدمة اجتماعيه</t>
  </si>
  <si>
    <t>لطيفه سعد عبد الرحمن المسعر</t>
  </si>
  <si>
    <t>l.almasaar@altanmiyah.edu.sa</t>
  </si>
  <si>
    <t>نورة عبد الرحمن صالح العيسى</t>
  </si>
  <si>
    <t>n.alaesa@dab-schools.edu.sa</t>
  </si>
  <si>
    <t xml:space="preserve"> مكتبات ومعلومات</t>
  </si>
  <si>
    <t>حميده فلاح حميدي العنزي</t>
  </si>
  <si>
    <t>مديرة</t>
  </si>
  <si>
    <t>G.principal.Sec_Daq@altanmiyah.edu.sa</t>
  </si>
  <si>
    <t>ريم قاسم داخل البقمي</t>
  </si>
  <si>
    <t>R.Albaqmi@altanmiyah.edu.sa</t>
  </si>
  <si>
    <t>خلود محمد حسن حدادي</t>
  </si>
  <si>
    <t>موجهه طلابية</t>
  </si>
  <si>
    <t>K.Haddadi@altanmiyah.edu.sa</t>
  </si>
  <si>
    <t>علم اجتماع و الخدمة اجتماعية</t>
  </si>
  <si>
    <t>عمرو عبدالتواب عطا</t>
  </si>
  <si>
    <t>الابتدائي</t>
  </si>
  <si>
    <t>مصري</t>
  </si>
  <si>
    <t>الزين الشيخ الزين أبوجبل</t>
  </si>
  <si>
    <t>سوداني</t>
  </si>
  <si>
    <t xml:space="preserve">مصطفى رجب جمعه العباسي </t>
  </si>
  <si>
    <t xml:space="preserve">وكيل </t>
  </si>
  <si>
    <t xml:space="preserve">مصري </t>
  </si>
  <si>
    <t>B.Deputy.Sec_Daq@Altanmiyah.edu.sa</t>
  </si>
  <si>
    <t xml:space="preserve">بكالوريوس تربية </t>
  </si>
  <si>
    <t>مشعل حمود الرمالي  الشمري</t>
  </si>
  <si>
    <t>Meshaal.Alshammari@altanmiyah.edu.sa</t>
  </si>
  <si>
    <t>توجيه وإرشاد نفسي</t>
  </si>
  <si>
    <t xml:space="preserve"> احمد رفعت حامد السعدني </t>
  </si>
  <si>
    <t xml:space="preserve">رائد نشاط </t>
  </si>
  <si>
    <t>A.Alsaadani@altanmiyah.edu.sa</t>
  </si>
  <si>
    <t>بكالوريوس التربية النوعية</t>
  </si>
  <si>
    <t>إعلام تربوي</t>
  </si>
  <si>
    <t>a.salem@altanmiyah.edu.sa</t>
  </si>
  <si>
    <t>تربية نوعية</t>
  </si>
  <si>
    <t>الإداريين</t>
  </si>
  <si>
    <t>محمود محمد عبدالحسيب</t>
  </si>
  <si>
    <t>M.Abdelhaseeb@altanmiyah.edu.sa</t>
  </si>
  <si>
    <t>معلم صف</t>
  </si>
  <si>
    <t>العفيفي عبدالجواد محمد</t>
  </si>
  <si>
    <t>أصول دين ودعوة</t>
  </si>
  <si>
    <t>حسن عزالدين حسن مبروك</t>
  </si>
  <si>
    <t>H.Mabrouk@altanmiyah.edu.sa</t>
  </si>
  <si>
    <t>عبدالعزيز محمود يونس</t>
  </si>
  <si>
    <t>A.Younis@altanmiyah.edu.sa</t>
  </si>
  <si>
    <t>شريعة اسلامية</t>
  </si>
  <si>
    <t>محمد السيد كامل الغباشي</t>
  </si>
  <si>
    <t>M.Alghobashi@altanmiyah.edu.sa</t>
  </si>
  <si>
    <t>سلمان بن حمد الفراج</t>
  </si>
  <si>
    <t>S.Alfarraj@altanmiyah.edu.sa</t>
  </si>
  <si>
    <t>أمير ابراهيم جلال عبدالله</t>
  </si>
  <si>
    <t>رياضيات وحاسب</t>
  </si>
  <si>
    <t>طارق عبد الظاهر بيومي</t>
  </si>
  <si>
    <t>T.Ahmed@altanmiyah.edu.sa</t>
  </si>
  <si>
    <t>عمرو محمد عبدالمقصود غراب</t>
  </si>
  <si>
    <t>علوم وتربية</t>
  </si>
  <si>
    <t>ربيع عوض عبد الموجود خليفة</t>
  </si>
  <si>
    <t>رامي محمد يسن معروف  العمري</t>
  </si>
  <si>
    <t>R.Maarouf@altanmiyah.edu.sa</t>
  </si>
  <si>
    <t>محمود رضا ابو المكارم وحش</t>
  </si>
  <si>
    <t>أيمن محمد علي مصباح</t>
  </si>
  <si>
    <t>mraymanmohamed15@gmail.com</t>
  </si>
  <si>
    <t>مصطفى إبراهيم عبدالتواب</t>
  </si>
  <si>
    <t>m.abdulmawli@altanmiyah.edu.sa</t>
  </si>
  <si>
    <t>أحمد محمد الصوفي أحمد</t>
  </si>
  <si>
    <t>عبد العزيز خالد عبد العزيز العتيق</t>
  </si>
  <si>
    <t>فيصل حسين جزاء الحربي</t>
  </si>
  <si>
    <t>faisal.1996me@gmail.com</t>
  </si>
  <si>
    <t>ماجد محمد مسعد العتيبي</t>
  </si>
  <si>
    <t>majed9515mh@gmail.com</t>
  </si>
  <si>
    <t>ماهر مساعد سعد الحربي</t>
  </si>
  <si>
    <t>aldosarim761@gmail.com</t>
  </si>
  <si>
    <t>محمد محمد سمير الدالي</t>
  </si>
  <si>
    <t>محمود صابر محمود سعيد</t>
  </si>
  <si>
    <t>محمود جمعة مصري</t>
  </si>
  <si>
    <t>mahmoudmasry165@gmail.com</t>
  </si>
  <si>
    <t>تكنولجيا معلومات</t>
  </si>
  <si>
    <t>سلمان محمد عبدالرحمن سالمان</t>
  </si>
  <si>
    <t>S.Salman@altanmiyah.edu.sa</t>
  </si>
  <si>
    <t>أحمد طاهر عبد المعطي بهيدي</t>
  </si>
  <si>
    <t>محمد على سالم سليم</t>
  </si>
  <si>
    <t>محمد سيد عبدالجواد عبدالله</t>
  </si>
  <si>
    <t>وليد محمد صالح الصده</t>
  </si>
  <si>
    <t>حسن أحمد أبوغنيمه أحمد</t>
  </si>
  <si>
    <t>فارس مصباح علي عبدالرحمن</t>
  </si>
  <si>
    <t>محمد صلاح احمد نصر</t>
  </si>
  <si>
    <t>تربيه رياضه</t>
  </si>
  <si>
    <t>أحمد محمد مصباح عبعوب</t>
  </si>
  <si>
    <t xml:space="preserve">كيمياء خاصه </t>
  </si>
  <si>
    <t>حسن علي ذياب الخطيب</t>
  </si>
  <si>
    <t xml:space="preserve">اردني </t>
  </si>
  <si>
    <t>عبدالعزيز صالح محمد الربيعان</t>
  </si>
  <si>
    <t>3577@altanmiyah.edu.sa</t>
  </si>
  <si>
    <t>مصطفى محمد عبدالغنى ادودار</t>
  </si>
  <si>
    <t>محمد عبد المنعم إبراهيم أحمد</t>
  </si>
  <si>
    <t>حسام السيد محمد عوض</t>
  </si>
  <si>
    <t xml:space="preserve">محمد مدحت حلمي حسن </t>
  </si>
  <si>
    <t>momedhat1245@gmail.com</t>
  </si>
  <si>
    <t>مجموع المرحلة الابتدائية بنات</t>
  </si>
  <si>
    <t>مجموع المرحلة الابتدائية بنين</t>
  </si>
  <si>
    <t>Huda0albakri@gmail.com</t>
  </si>
  <si>
    <t>3284@altanmiyah.edu.sa</t>
  </si>
  <si>
    <t>munirah1q1@gmail.com</t>
  </si>
  <si>
    <t>هدى محمد احمد المناعي</t>
  </si>
  <si>
    <t>amany_lashin@gmail.com</t>
  </si>
  <si>
    <t>سليمان الصادق الخضر</t>
  </si>
  <si>
    <t>محمد محسن احمد العزب</t>
  </si>
  <si>
    <t>محمد مدين عبدالصادق عبدالقادر</t>
  </si>
  <si>
    <t>أحمد محمد  توفيق سالم</t>
  </si>
  <si>
    <t>mahmodnoor656@gmail.com</t>
  </si>
  <si>
    <t>ر.الموظف</t>
  </si>
  <si>
    <t>المدير المباشر</t>
  </si>
  <si>
    <t>الديانة</t>
  </si>
  <si>
    <t>الحالة الاجتماعية</t>
  </si>
  <si>
    <t>مكان الميلاد</t>
  </si>
  <si>
    <t>مسؤول موارد بشرية</t>
  </si>
  <si>
    <t>مده الخبره فى الخارج</t>
  </si>
  <si>
    <t>مده الخبره فى الداخل</t>
  </si>
  <si>
    <t>اجمالي الخبرة</t>
  </si>
  <si>
    <t>رقم الجوال 2</t>
  </si>
  <si>
    <t>رقم الهاتف</t>
  </si>
  <si>
    <t>شركة التأمين</t>
  </si>
  <si>
    <t>اسم الفئة التأمينية</t>
  </si>
  <si>
    <t>تاريخ بداية التأمين</t>
  </si>
  <si>
    <t>تاريخ نهاية وثيقة التأمين</t>
  </si>
  <si>
    <t>ر.البصمه</t>
  </si>
  <si>
    <t>موقوف</t>
  </si>
  <si>
    <t>عمرو عبد التواب عطا عطية</t>
  </si>
  <si>
    <t>2312391994</t>
  </si>
  <si>
    <t>مسلم</t>
  </si>
  <si>
    <t>متزوج</t>
  </si>
  <si>
    <t>لا</t>
  </si>
  <si>
    <t xml:space="preserve">12 سنه 5 شهر 30 يوم </t>
  </si>
  <si>
    <t>12</t>
  </si>
  <si>
    <t>540219538</t>
  </si>
  <si>
    <t>2312391994@al-tanmiah.com</t>
  </si>
  <si>
    <t>SA0705000068203544457000</t>
  </si>
  <si>
    <t>24</t>
  </si>
  <si>
    <t>مدارس دار القلم</t>
  </si>
  <si>
    <t>محمود ابو الغيط عبد العاطى عبد الجليل</t>
  </si>
  <si>
    <t>معن هاني بن محمد البشر</t>
  </si>
  <si>
    <t>2312390889</t>
  </si>
  <si>
    <t>منسق</t>
  </si>
  <si>
    <t xml:space="preserve">12 سنه 11 شهر 9 يوم </t>
  </si>
  <si>
    <t>13</t>
  </si>
  <si>
    <t>540357053</t>
  </si>
  <si>
    <t>2312390889@al-tanmiah.com</t>
  </si>
  <si>
    <t>SA2405000068201813540000</t>
  </si>
  <si>
    <t>25</t>
  </si>
  <si>
    <t>طارق عبد الظاهر بيومي سيد أحمد</t>
  </si>
  <si>
    <t>2422170593</t>
  </si>
  <si>
    <t xml:space="preserve">7 سنه 11 شهر 18 يوم </t>
  </si>
  <si>
    <t>8</t>
  </si>
  <si>
    <t>562987348</t>
  </si>
  <si>
    <t>2422170593@al-tanmiah.com</t>
  </si>
  <si>
    <t>SA4805000068204540118000</t>
  </si>
  <si>
    <t>26</t>
  </si>
  <si>
    <t>رامي محمد يسن معروف</t>
  </si>
  <si>
    <t>2422462180</t>
  </si>
  <si>
    <t>أعزب</t>
  </si>
  <si>
    <t xml:space="preserve">7 سنه 11 شهر 15 يوم </t>
  </si>
  <si>
    <t>580934865</t>
  </si>
  <si>
    <t>2422462180@al-tanmiah.com</t>
  </si>
  <si>
    <t>SA0505000068204540105000</t>
  </si>
  <si>
    <t>27</t>
  </si>
  <si>
    <t>2422497111</t>
  </si>
  <si>
    <t xml:space="preserve">7 سنه 11 شهر 1 يوم </t>
  </si>
  <si>
    <t>569424470</t>
  </si>
  <si>
    <t>2422497111@al-tanmiah.com</t>
  </si>
  <si>
    <t>SA0705000068202521592000</t>
  </si>
  <si>
    <t>28</t>
  </si>
  <si>
    <t>2295913624</t>
  </si>
  <si>
    <t xml:space="preserve">3 سنه 0 شهر 14 يوم </t>
  </si>
  <si>
    <t>3</t>
  </si>
  <si>
    <t>568795892</t>
  </si>
  <si>
    <t>2295913624@al-tanmiah.com</t>
  </si>
  <si>
    <t>SA5705000068201899501000</t>
  </si>
  <si>
    <t>29</t>
  </si>
  <si>
    <t>ابو السعود معاويه ابو السعود محمد</t>
  </si>
  <si>
    <t>2474277379</t>
  </si>
  <si>
    <t>منقذ سباحة</t>
  </si>
  <si>
    <t xml:space="preserve">2 سنه 11 شهر 23 يوم </t>
  </si>
  <si>
    <t>560508651</t>
  </si>
  <si>
    <t>2474277379@al-tanmiah.com</t>
  </si>
  <si>
    <t>SA8305000068204505274000</t>
  </si>
  <si>
    <t>30</t>
  </si>
  <si>
    <t>2265322129</t>
  </si>
  <si>
    <t xml:space="preserve">15 سنه 10 شهر 25 يوم </t>
  </si>
  <si>
    <t>16</t>
  </si>
  <si>
    <t>559462197</t>
  </si>
  <si>
    <t>2265322129@al-tanmiah.com</t>
  </si>
  <si>
    <t>SA3005000068204495179000</t>
  </si>
  <si>
    <t>33</t>
  </si>
  <si>
    <t>امير ابراهيم جلال عبدالله</t>
  </si>
  <si>
    <t>2320558105</t>
  </si>
  <si>
    <t xml:space="preserve">12 سنه 5 شهر 17 يوم </t>
  </si>
  <si>
    <t>561584133</t>
  </si>
  <si>
    <t>2320558105@al-tanmiah.com</t>
  </si>
  <si>
    <t>SA2105000068201450238000</t>
  </si>
  <si>
    <t>44</t>
  </si>
  <si>
    <t>أحمد محمد توفيق سالم</t>
  </si>
  <si>
    <t>2405280336</t>
  </si>
  <si>
    <t xml:space="preserve">8 سنه 7 شهر 19 يوم </t>
  </si>
  <si>
    <t>598871224</t>
  </si>
  <si>
    <t>2405280336@al-tanmiah.com</t>
  </si>
  <si>
    <t>SA7305000068204496259000</t>
  </si>
  <si>
    <t>47</t>
  </si>
  <si>
    <t>عبدالملك عبدالكريم محمد اللاحم</t>
  </si>
  <si>
    <t>1098772732</t>
  </si>
  <si>
    <t xml:space="preserve">2 سنه 11 شهر 30 يوم </t>
  </si>
  <si>
    <t>552604731</t>
  </si>
  <si>
    <t>1098772732@al-tanmiah.com</t>
  </si>
  <si>
    <t>SA4080000101608016319848</t>
  </si>
  <si>
    <t>62</t>
  </si>
  <si>
    <t>عبدالعزيز خالد عبدالعزيز العتيق</t>
  </si>
  <si>
    <t>1073686394</t>
  </si>
  <si>
    <t xml:space="preserve">2 سنه 7 شهر 4 يوم </t>
  </si>
  <si>
    <t>2</t>
  </si>
  <si>
    <t>545069043</t>
  </si>
  <si>
    <t>1073686394@al-tanmiah.com</t>
  </si>
  <si>
    <t>SA8105000068204541398000</t>
  </si>
  <si>
    <t>65</t>
  </si>
  <si>
    <t>حسن عز الدين حسن مبروك</t>
  </si>
  <si>
    <t>2295722868</t>
  </si>
  <si>
    <t xml:space="preserve">13 سنه 10 شهر 30 يوم </t>
  </si>
  <si>
    <t>14</t>
  </si>
  <si>
    <t>597772798</t>
  </si>
  <si>
    <t>2295722868@al-tanmiah.com</t>
  </si>
  <si>
    <t>SA1305000068204503182000</t>
  </si>
  <si>
    <t>68</t>
  </si>
  <si>
    <t>محمد محمد سمير عبدالعزيز</t>
  </si>
  <si>
    <t>2312390483</t>
  </si>
  <si>
    <t xml:space="preserve">12 سنه 10 شهر 28 يوم </t>
  </si>
  <si>
    <t>547869697</t>
  </si>
  <si>
    <t>2312390483@al-tanmiah.com</t>
  </si>
  <si>
    <t>SA5105000068204498736000</t>
  </si>
  <si>
    <t>69</t>
  </si>
  <si>
    <t>العفيفى عبد الجواد محمد العفيفى</t>
  </si>
  <si>
    <t>2296977628</t>
  </si>
  <si>
    <t xml:space="preserve">13 سنه 9 شهر 30 يوم </t>
  </si>
  <si>
    <t>564097432</t>
  </si>
  <si>
    <t>2296977628@al-tanmiah.com</t>
  </si>
  <si>
    <t>SA5180000521608010068146</t>
  </si>
  <si>
    <t>70</t>
  </si>
  <si>
    <t>ربيع عوض عبدالموجود خليفه</t>
  </si>
  <si>
    <t>2396262137</t>
  </si>
  <si>
    <t xml:space="preserve">9 سنه 0 شهر 16 يوم </t>
  </si>
  <si>
    <t>9</t>
  </si>
  <si>
    <t>541948873</t>
  </si>
  <si>
    <t>2396262137@al-tanmiah.com</t>
  </si>
  <si>
    <t>SA1005000068203117306000</t>
  </si>
  <si>
    <t>72</t>
  </si>
  <si>
    <t>1106119926</t>
  </si>
  <si>
    <t>559012194</t>
  </si>
  <si>
    <t>1106119926@al-tanmiah.com</t>
  </si>
  <si>
    <t>SA4180000632608010003024</t>
  </si>
  <si>
    <t>76</t>
  </si>
  <si>
    <t>فواز عبدالله إسماعيل المطيري</t>
  </si>
  <si>
    <t>1095982995</t>
  </si>
  <si>
    <t>501772544</t>
  </si>
  <si>
    <t>1095982995@al-tanmiah.com</t>
  </si>
  <si>
    <t>SA3880000632608016034247</t>
  </si>
  <si>
    <t>78</t>
  </si>
  <si>
    <t>الزين الشيخ الزين أبو جبل</t>
  </si>
  <si>
    <t>2165144052</t>
  </si>
  <si>
    <t xml:space="preserve">5 سنه 0 شهر 11 يوم </t>
  </si>
  <si>
    <t>5</t>
  </si>
  <si>
    <t>507237675</t>
  </si>
  <si>
    <t>2165144052@al-tanmiah.com</t>
  </si>
  <si>
    <t>SA4080000539608019290980</t>
  </si>
  <si>
    <t>80</t>
  </si>
  <si>
    <t>مصطفى رجب جمعه العباسى</t>
  </si>
  <si>
    <t>2295984575</t>
  </si>
  <si>
    <t xml:space="preserve">13 سنه 10 شهر 20 يوم </t>
  </si>
  <si>
    <t>546786061</t>
  </si>
  <si>
    <t>2295984575@al-tanmiah.com</t>
  </si>
  <si>
    <t>SA4105000068204496220000</t>
  </si>
  <si>
    <t>89</t>
  </si>
  <si>
    <t>احمد محمد مصباح عبعوب</t>
  </si>
  <si>
    <t>2350964611</t>
  </si>
  <si>
    <t xml:space="preserve">11 سنه 0 شهر 10 يوم </t>
  </si>
  <si>
    <t>11</t>
  </si>
  <si>
    <t>552005145</t>
  </si>
  <si>
    <t>2350964611@al-tanmiah.com</t>
  </si>
  <si>
    <t>SA9105000068204495802000</t>
  </si>
  <si>
    <t>95</t>
  </si>
  <si>
    <t>مصطفى ابراهيم عبدالتواب عبد المولي</t>
  </si>
  <si>
    <t>2382247068</t>
  </si>
  <si>
    <t xml:space="preserve">9 سنه 6 شهر 14 يوم </t>
  </si>
  <si>
    <t>552420543</t>
  </si>
  <si>
    <t>2382247068@al-tanmiah.com</t>
  </si>
  <si>
    <t>SA8605000068204495999000</t>
  </si>
  <si>
    <t>96</t>
  </si>
  <si>
    <t>محمود رضا ابوالمكارم وحش</t>
  </si>
  <si>
    <t>2396261717</t>
  </si>
  <si>
    <t xml:space="preserve">9 سنه 0 شهر 17 يوم </t>
  </si>
  <si>
    <t>599536762</t>
  </si>
  <si>
    <t>2396261717@al-tanmiah.com</t>
  </si>
  <si>
    <t>SA1505000068204494315000</t>
  </si>
  <si>
    <t>98</t>
  </si>
  <si>
    <t>عبد العزيز محمود بيومي يونس</t>
  </si>
  <si>
    <t>2314377397</t>
  </si>
  <si>
    <t xml:space="preserve">12 سنه 10 شهر 5 يوم </t>
  </si>
  <si>
    <t>598811372</t>
  </si>
  <si>
    <t>2314377397@al-tanmiah.com</t>
  </si>
  <si>
    <t>SA3805000068202076809000</t>
  </si>
  <si>
    <t>111</t>
  </si>
  <si>
    <t>محمود محمد محمود عبد الحسيب</t>
  </si>
  <si>
    <t>2422265567</t>
  </si>
  <si>
    <t xml:space="preserve">7 سنه 11 شهر 11 يوم </t>
  </si>
  <si>
    <t>560294799</t>
  </si>
  <si>
    <t>2422265567@al-tanmiah.com</t>
  </si>
  <si>
    <t>SA2705000068204377675000</t>
  </si>
  <si>
    <t>122</t>
  </si>
  <si>
    <t>محمد صلاح أحمد نصر</t>
  </si>
  <si>
    <t>2422261525</t>
  </si>
  <si>
    <t xml:space="preserve">7 سنه 11 شهر 12 يوم </t>
  </si>
  <si>
    <t>548480212</t>
  </si>
  <si>
    <t>2422261525@al-tanmiah.com</t>
  </si>
  <si>
    <t>SA5805000068204497335000</t>
  </si>
  <si>
    <t>137</t>
  </si>
  <si>
    <t>احمد رفعت حامد السعدنى</t>
  </si>
  <si>
    <t>2396958551</t>
  </si>
  <si>
    <t>سكرتير مدير المجمع</t>
  </si>
  <si>
    <t xml:space="preserve">6 سنه 11 شهر 26 يوم </t>
  </si>
  <si>
    <t>7</t>
  </si>
  <si>
    <t>541397016</t>
  </si>
  <si>
    <t>2396958551@al-tanmiah.com</t>
  </si>
  <si>
    <t>SA5205000068202989299000</t>
  </si>
  <si>
    <t>155</t>
  </si>
  <si>
    <t>2422266318</t>
  </si>
  <si>
    <t>560000000</t>
  </si>
  <si>
    <t>2422266318@al-tanmiah.com</t>
  </si>
  <si>
    <t>SA3205000068204375926000</t>
  </si>
  <si>
    <t>158</t>
  </si>
  <si>
    <t>سلمان محمد عبد الرحمن سالمان</t>
  </si>
  <si>
    <t>2442472367</t>
  </si>
  <si>
    <t>545793386</t>
  </si>
  <si>
    <t>2442472367@al-tanmiah.com</t>
  </si>
  <si>
    <t>SA3105000068203090211000</t>
  </si>
  <si>
    <t>160</t>
  </si>
  <si>
    <t>حسن أحمد ابو غنيمة أحمد</t>
  </si>
  <si>
    <t>2442117442</t>
  </si>
  <si>
    <t xml:space="preserve">6 سنه 11 شهر 19 يوم </t>
  </si>
  <si>
    <t>569484890</t>
  </si>
  <si>
    <t>2442117442@al-tanmiah.com</t>
  </si>
  <si>
    <t>SA2105000068203617800000</t>
  </si>
  <si>
    <t>164</t>
  </si>
  <si>
    <t>حسام السيد محمد علي</t>
  </si>
  <si>
    <t>2479842896</t>
  </si>
  <si>
    <t xml:space="preserve">4 سنه 9 شهر 17 يوم </t>
  </si>
  <si>
    <t>542386188</t>
  </si>
  <si>
    <t>2479842896@al-tanmiah.com</t>
  </si>
  <si>
    <t>SA7505000068203078661000</t>
  </si>
  <si>
    <t>168</t>
  </si>
  <si>
    <t>نوف سليمان علي العتيبي</t>
  </si>
  <si>
    <t>1046735476</t>
  </si>
  <si>
    <t xml:space="preserve">6 سنه 11 شهر 4 يوم </t>
  </si>
  <si>
    <t>557553982</t>
  </si>
  <si>
    <t>1046735476@al-tanmiah.com</t>
  </si>
  <si>
    <t>SA2405000068204497821000</t>
  </si>
  <si>
    <t>175</t>
  </si>
  <si>
    <t>1096143985</t>
  </si>
  <si>
    <t xml:space="preserve">4 سنه 3 شهر 4 يوم </t>
  </si>
  <si>
    <t>4</t>
  </si>
  <si>
    <t>535310618</t>
  </si>
  <si>
    <t>1096143985@al-tanmiah.com</t>
  </si>
  <si>
    <t>SA2105000068204498851000</t>
  </si>
  <si>
    <t>177</t>
  </si>
  <si>
    <t>منى محمد سليمان المحيميد</t>
  </si>
  <si>
    <t>1027992443</t>
  </si>
  <si>
    <t xml:space="preserve">6 سنه 10 شهر 4 يوم </t>
  </si>
  <si>
    <t>500634575</t>
  </si>
  <si>
    <t>1027992443@al-tanmiah.com</t>
  </si>
  <si>
    <t>SA2005000068204498289000</t>
  </si>
  <si>
    <t>179</t>
  </si>
  <si>
    <t>1065196212</t>
  </si>
  <si>
    <t xml:space="preserve">5 سنه 11 شهر 19 يوم </t>
  </si>
  <si>
    <t>6</t>
  </si>
  <si>
    <t>506056773</t>
  </si>
  <si>
    <t>1065196212@al-tanmiah.com</t>
  </si>
  <si>
    <t>SA9505000068204497856000</t>
  </si>
  <si>
    <t>183</t>
  </si>
  <si>
    <t>1026450542</t>
  </si>
  <si>
    <t xml:space="preserve">5 سنه 0 شهر 4 يوم </t>
  </si>
  <si>
    <t>544005446</t>
  </si>
  <si>
    <t>1026450542@al-tanmiah.com</t>
  </si>
  <si>
    <t>SA2105000068200244806002</t>
  </si>
  <si>
    <t>185</t>
  </si>
  <si>
    <t>عهود فالح فاتل الرويلي</t>
  </si>
  <si>
    <t>1072851387</t>
  </si>
  <si>
    <t xml:space="preserve">4 سنه 7 شهر 17 يوم </t>
  </si>
  <si>
    <t>555958725</t>
  </si>
  <si>
    <t>1072851387@al-tanmiah.com</t>
  </si>
  <si>
    <t>SA4405000068201196317000</t>
  </si>
  <si>
    <t>186</t>
  </si>
  <si>
    <t>فاطمة فالح غزاي المطيري</t>
  </si>
  <si>
    <t>1066502152</t>
  </si>
  <si>
    <t>532676237</t>
  </si>
  <si>
    <t>1066502152@al-tanmiah.com</t>
  </si>
  <si>
    <t>SA1205000068201174938000</t>
  </si>
  <si>
    <t>187</t>
  </si>
  <si>
    <t>سلطانه مدعث عونان البقمي</t>
  </si>
  <si>
    <t>1078713391</t>
  </si>
  <si>
    <t xml:space="preserve">2 سنه 9 شهر 0 يوم </t>
  </si>
  <si>
    <t>551491226</t>
  </si>
  <si>
    <t>1078713391@al-tanmiah.com</t>
  </si>
  <si>
    <t>SA7505000068204499808000</t>
  </si>
  <si>
    <t>191</t>
  </si>
  <si>
    <t>1082129105</t>
  </si>
  <si>
    <t xml:space="preserve">2 سنه 11 شهر 6 يوم </t>
  </si>
  <si>
    <t>539121234</t>
  </si>
  <si>
    <t>1082129105@al-tanmiah.com</t>
  </si>
  <si>
    <t>SA5205000068204498037000</t>
  </si>
  <si>
    <t>192</t>
  </si>
  <si>
    <t>اثير محمد سعد الحربي</t>
  </si>
  <si>
    <t>1101391603</t>
  </si>
  <si>
    <t xml:space="preserve">2 سنه 7 شهر 17 يوم </t>
  </si>
  <si>
    <t>535375812</t>
  </si>
  <si>
    <t>1101391603@al-tanmiah.com</t>
  </si>
  <si>
    <t>SA1305000068204499399000</t>
  </si>
  <si>
    <t>195</t>
  </si>
  <si>
    <t>1070000169</t>
  </si>
  <si>
    <t xml:space="preserve">2 سنه 5 شهر 16 يوم </t>
  </si>
  <si>
    <t>551391313</t>
  </si>
  <si>
    <t>1070000169@al-tanmiah.com</t>
  </si>
  <si>
    <t>SA8705000068204380937000</t>
  </si>
  <si>
    <t>201</t>
  </si>
  <si>
    <t>1000674232</t>
  </si>
  <si>
    <t xml:space="preserve">4 سنه 8 شهر 21 يوم </t>
  </si>
  <si>
    <t>544613987</t>
  </si>
  <si>
    <t>1000674232@al-tanmiah.com</t>
  </si>
  <si>
    <t>SA2205000068204495242000</t>
  </si>
  <si>
    <t>208</t>
  </si>
  <si>
    <t>نورة مدعث عونان البقمي</t>
  </si>
  <si>
    <t>1078713367</t>
  </si>
  <si>
    <t>501949580</t>
  </si>
  <si>
    <t>1078713367@al-tanmiah.com</t>
  </si>
  <si>
    <t>SA2605000068204080390000</t>
  </si>
  <si>
    <t>215</t>
  </si>
  <si>
    <t>العنود عبد الله سفر الشيباني</t>
  </si>
  <si>
    <t>1067208841</t>
  </si>
  <si>
    <t>559373729</t>
  </si>
  <si>
    <t>1067208841@al-tanmiah.com</t>
  </si>
  <si>
    <t>SA2805000068204496480000</t>
  </si>
  <si>
    <t>219</t>
  </si>
  <si>
    <t>نوف عائش شليويح الزلفي</t>
  </si>
  <si>
    <t>1039555444</t>
  </si>
  <si>
    <t xml:space="preserve">2 سنه 11 شهر 2 يوم </t>
  </si>
  <si>
    <t>535750688</t>
  </si>
  <si>
    <t>1039555444@al-tanmiah.com</t>
  </si>
  <si>
    <t>SA6405000068204497797000</t>
  </si>
  <si>
    <t>258</t>
  </si>
  <si>
    <t>منى مقبل عبد العزيز الخلف</t>
  </si>
  <si>
    <t>1030800088</t>
  </si>
  <si>
    <t>555994993</t>
  </si>
  <si>
    <t>1030800088@al-tanmiah.com</t>
  </si>
  <si>
    <t>SA5905000068204497800000</t>
  </si>
  <si>
    <t>277</t>
  </si>
  <si>
    <t>نورة صالح محمد عبد الله السجاء</t>
  </si>
  <si>
    <t>1088571292</t>
  </si>
  <si>
    <t>504436877</t>
  </si>
  <si>
    <t>1088571292@al-tanmiah.com</t>
  </si>
  <si>
    <t>SA4305000068204497829000</t>
  </si>
  <si>
    <t>281</t>
  </si>
  <si>
    <t>نوره عبد الله محماس المطيري</t>
  </si>
  <si>
    <t>1072522269</t>
  </si>
  <si>
    <t xml:space="preserve">3 سنه 9 شهر 14 يوم </t>
  </si>
  <si>
    <t>533216504</t>
  </si>
  <si>
    <t>1072522269@al-tanmiah.com</t>
  </si>
  <si>
    <t>SA7105000068204495135000</t>
  </si>
  <si>
    <t>285</t>
  </si>
  <si>
    <t>بابكر محمد احمد الصديق</t>
  </si>
  <si>
    <t>2115422657</t>
  </si>
  <si>
    <t xml:space="preserve">8 سنه 1 شهر 4 يوم </t>
  </si>
  <si>
    <t>558281652</t>
  </si>
  <si>
    <t>2115422657@al-tanmiah.com</t>
  </si>
  <si>
    <t>SA1505000068201296073001</t>
  </si>
  <si>
    <t>292</t>
  </si>
  <si>
    <t>عاطف محمد ادريس محمد</t>
  </si>
  <si>
    <t>2276755655</t>
  </si>
  <si>
    <t>552178464</t>
  </si>
  <si>
    <t>2276755655@al-tanmiah.com</t>
  </si>
  <si>
    <t>SA1205000068202749733000</t>
  </si>
  <si>
    <t>293</t>
  </si>
  <si>
    <t>محمود حسين محمود فراج</t>
  </si>
  <si>
    <t>2210353526</t>
  </si>
  <si>
    <t>57803303</t>
  </si>
  <si>
    <t>2210353526@al-tanmiah.com</t>
  </si>
  <si>
    <t>SA9105000068204510352000</t>
  </si>
  <si>
    <t>297</t>
  </si>
  <si>
    <t>شهيد الإسلام أنو مياه</t>
  </si>
  <si>
    <t>2268093669</t>
  </si>
  <si>
    <t xml:space="preserve">8 سنه 0 شهر 28 يوم </t>
  </si>
  <si>
    <t>530195994</t>
  </si>
  <si>
    <t>2268093669@al-tanmiah.com</t>
  </si>
  <si>
    <t>SA9280000343608016061984</t>
  </si>
  <si>
    <t>315</t>
  </si>
  <si>
    <t>ناجندرا ساهـ</t>
  </si>
  <si>
    <t>2428893388</t>
  </si>
  <si>
    <t>نيبال</t>
  </si>
  <si>
    <t xml:space="preserve">7 سنه 7 شهر 28 يوم </t>
  </si>
  <si>
    <t>500798586</t>
  </si>
  <si>
    <t>2428893388@al-tanmiah.com</t>
  </si>
  <si>
    <t>SA5005000068204509329000</t>
  </si>
  <si>
    <t>320</t>
  </si>
  <si>
    <t>بابلو مهاسيز</t>
  </si>
  <si>
    <t>2428894311</t>
  </si>
  <si>
    <t>500797687</t>
  </si>
  <si>
    <t>2428894311@al-tanmiah.com</t>
  </si>
  <si>
    <t>SA3105000068204509224000</t>
  </si>
  <si>
    <t>321</t>
  </si>
  <si>
    <t>رانجيت مهاسيز</t>
  </si>
  <si>
    <t>2428894089</t>
  </si>
  <si>
    <t>500798217</t>
  </si>
  <si>
    <t>2428894089@al-tanmiah.com</t>
  </si>
  <si>
    <t>SA2405000068204499955000</t>
  </si>
  <si>
    <t>322</t>
  </si>
  <si>
    <t>صابير جولا</t>
  </si>
  <si>
    <t>2429034354</t>
  </si>
  <si>
    <t>500798824</t>
  </si>
  <si>
    <t>2429034354@al-tanmiah.com</t>
  </si>
  <si>
    <t>SA7905000068203036774000</t>
  </si>
  <si>
    <t>324</t>
  </si>
  <si>
    <t>راهول امين</t>
  </si>
  <si>
    <t>2431157904</t>
  </si>
  <si>
    <t xml:space="preserve">6 سنه 11 شهر 30 يوم </t>
  </si>
  <si>
    <t>536757128</t>
  </si>
  <si>
    <t>2431157904@al-tanmiah.com</t>
  </si>
  <si>
    <t>SA1305000068204503861000</t>
  </si>
  <si>
    <t>327</t>
  </si>
  <si>
    <t>نور الحق اكي اولادير</t>
  </si>
  <si>
    <t>2432179014</t>
  </si>
  <si>
    <t>572293461</t>
  </si>
  <si>
    <t>2432179014@al-tanmiah.com</t>
  </si>
  <si>
    <t>SA2805000068204515783000</t>
  </si>
  <si>
    <t>328</t>
  </si>
  <si>
    <t>جيرالد اوغستين</t>
  </si>
  <si>
    <t>2443914516</t>
  </si>
  <si>
    <t>غير مسلم</t>
  </si>
  <si>
    <t xml:space="preserve">6 سنه 9 شهر 29 يوم </t>
  </si>
  <si>
    <t>573082979</t>
  </si>
  <si>
    <t>2443914516@al-tanmiah.com</t>
  </si>
  <si>
    <t>SA2905000068204507712000</t>
  </si>
  <si>
    <t>329</t>
  </si>
  <si>
    <t>ماريا كرستينا ديلباز ايجناسيو</t>
  </si>
  <si>
    <t>2444246132</t>
  </si>
  <si>
    <t xml:space="preserve">6 سنه 10 شهر 28 يوم </t>
  </si>
  <si>
    <t>503676439</t>
  </si>
  <si>
    <t>2444246132@al-tanmiah.com</t>
  </si>
  <si>
    <t>SA8305000068202914183000</t>
  </si>
  <si>
    <t>333</t>
  </si>
  <si>
    <t>نورمينا ساماما دا تولو كاس</t>
  </si>
  <si>
    <t>2442596553</t>
  </si>
  <si>
    <t>558016470</t>
  </si>
  <si>
    <t>2442596553@al-tanmiah.com</t>
  </si>
  <si>
    <t>SA4905000068204499358000</t>
  </si>
  <si>
    <t>339</t>
  </si>
  <si>
    <t>لوسيلا نينادا كابانيرو</t>
  </si>
  <si>
    <t>2444621433</t>
  </si>
  <si>
    <t>503306948</t>
  </si>
  <si>
    <t>2444621433@al-tanmiah.com</t>
  </si>
  <si>
    <t>SA7205000068204499092000</t>
  </si>
  <si>
    <t>341</t>
  </si>
  <si>
    <t>ميشيل كالدو توبالاس</t>
  </si>
  <si>
    <t>2442596603</t>
  </si>
  <si>
    <t>570456403</t>
  </si>
  <si>
    <t>2442596603@al-tanmiah.com</t>
  </si>
  <si>
    <t>SA6205000068204498904000</t>
  </si>
  <si>
    <t>344</t>
  </si>
  <si>
    <t>نورهايا اولانجكايا اوبون</t>
  </si>
  <si>
    <t>2442596967</t>
  </si>
  <si>
    <t>590520282</t>
  </si>
  <si>
    <t>2442596967@al-tanmiah.com</t>
  </si>
  <si>
    <t>SA6305000068204499078000</t>
  </si>
  <si>
    <t>345</t>
  </si>
  <si>
    <t>شيلما هادجردين جمديني</t>
  </si>
  <si>
    <t>2444621714</t>
  </si>
  <si>
    <t>580348678</t>
  </si>
  <si>
    <t>2444621714@al-tanmiah.com</t>
  </si>
  <si>
    <t>SA8405000068204508649000</t>
  </si>
  <si>
    <t>347</t>
  </si>
  <si>
    <t>نورة عبدالرحمن صالح العيسى</t>
  </si>
  <si>
    <t>اشراق محمد احمد الزهراني</t>
  </si>
  <si>
    <t>1062623994</t>
  </si>
  <si>
    <t xml:space="preserve">4 سنه 0 شهر 13 يوم </t>
  </si>
  <si>
    <t>0509 330 086</t>
  </si>
  <si>
    <t>Naa_1444@hotmail.com</t>
  </si>
  <si>
    <t>SA6405000068201275263000</t>
  </si>
  <si>
    <t>1794</t>
  </si>
  <si>
    <t>نورة منصور هجرس العتيبي</t>
  </si>
  <si>
    <t>1094668694</t>
  </si>
  <si>
    <t xml:space="preserve">2 سنه 0 شهر 13 يوم </t>
  </si>
  <si>
    <t>0558535905</t>
  </si>
  <si>
    <t>Nouraalmnsourr1@gmail.com</t>
  </si>
  <si>
    <t>SA8605000068204497357000</t>
  </si>
  <si>
    <t>2461</t>
  </si>
  <si>
    <t>1092961612</t>
  </si>
  <si>
    <t xml:space="preserve">2 سنه 0 شهر 8 يوم </t>
  </si>
  <si>
    <t>566631354</t>
  </si>
  <si>
    <t>SA1205000068204539092000</t>
  </si>
  <si>
    <t>2548</t>
  </si>
  <si>
    <t>محمد عبدالله محمد العتيبي</t>
  </si>
  <si>
    <t>1090621549</t>
  </si>
  <si>
    <t xml:space="preserve">2 سنه 0 شهر 15 يوم </t>
  </si>
  <si>
    <t>560009630</t>
  </si>
  <si>
    <t>mm60009630@gmail.com</t>
  </si>
  <si>
    <t>SA4605000068204496120000</t>
  </si>
  <si>
    <t>2580</t>
  </si>
  <si>
    <t>سلمان بن حمد بن سليمان الفراج</t>
  </si>
  <si>
    <t>1103049928</t>
  </si>
  <si>
    <t xml:space="preserve">1 سنه 11 شهر 23 يوم </t>
  </si>
  <si>
    <t>538394028</t>
  </si>
  <si>
    <t>salmanhamadalfarraj@gmail.com</t>
  </si>
  <si>
    <t>SA5305000068204496465000</t>
  </si>
  <si>
    <t>2608</t>
  </si>
  <si>
    <t>مشعل حمود الحميدي الشمري</t>
  </si>
  <si>
    <t>1096150808</t>
  </si>
  <si>
    <t xml:space="preserve">1 سنه 11 شهر 11 يوم </t>
  </si>
  <si>
    <t>555829582</t>
  </si>
  <si>
    <t>meshal.4370@hotmail.com</t>
  </si>
  <si>
    <t>SA6805000068204496165000</t>
  </si>
  <si>
    <t>2625</t>
  </si>
  <si>
    <t>احمد محمد علي عسيري</t>
  </si>
  <si>
    <t>1085820189</t>
  </si>
  <si>
    <t xml:space="preserve">1 سنه 10 شهر 13 يوم </t>
  </si>
  <si>
    <t>0551269975</t>
  </si>
  <si>
    <t>ahmed0551269975@gmail.com</t>
  </si>
  <si>
    <t>SA3810000046172699000103</t>
  </si>
  <si>
    <t>2738</t>
  </si>
  <si>
    <t>رفيده سامي عواد الجهني</t>
  </si>
  <si>
    <t>1107277327</t>
  </si>
  <si>
    <t xml:space="preserve">1 سنه 4 شهر 3 يوم </t>
  </si>
  <si>
    <t>1</t>
  </si>
  <si>
    <t>0568384899</t>
  </si>
  <si>
    <t>rof7idhh0696@gmail.com</t>
  </si>
  <si>
    <t>SA2505000068204154518000</t>
  </si>
  <si>
    <t>2832</t>
  </si>
  <si>
    <t>1091881795</t>
  </si>
  <si>
    <t xml:space="preserve">1 سنه 8 شهر 4 يوم </t>
  </si>
  <si>
    <t>0503784850</t>
  </si>
  <si>
    <t>nnoouuff0@gmail.com</t>
  </si>
  <si>
    <t>SA3005000068204498671000</t>
  </si>
  <si>
    <t>2862</t>
  </si>
  <si>
    <t>مها محمد ابن ابراهيم العتيبي</t>
  </si>
  <si>
    <t>عبدالله عبدالمجيد عبدالرحمن الرشيد</t>
  </si>
  <si>
    <t>1113598666</t>
  </si>
  <si>
    <t xml:space="preserve">1 سنه 7 شهر 12 يوم </t>
  </si>
  <si>
    <t>0594467396</t>
  </si>
  <si>
    <t>ismahamouq@hotmail.com</t>
  </si>
  <si>
    <t>SA8205000068204400728000</t>
  </si>
  <si>
    <t>2895</t>
  </si>
  <si>
    <t>ابو بكر   صديق</t>
  </si>
  <si>
    <t>2539904892</t>
  </si>
  <si>
    <t xml:space="preserve">1 سنه 1 شهر 4 يوم </t>
  </si>
  <si>
    <t>571650936</t>
  </si>
  <si>
    <t>seddikmd83@gmail.com</t>
  </si>
  <si>
    <t>SA1530400197088754810019</t>
  </si>
  <si>
    <t>3028</t>
  </si>
  <si>
    <t>هياء برجس شعيفان السهلي</t>
  </si>
  <si>
    <t>1037857370</t>
  </si>
  <si>
    <t xml:space="preserve">1 سنه 0 شهر 23 يوم </t>
  </si>
  <si>
    <t>0554003339</t>
  </si>
  <si>
    <t>hionh.33@gmail.com</t>
  </si>
  <si>
    <t>SA4880000412608010131268</t>
  </si>
  <si>
    <t>3060</t>
  </si>
  <si>
    <t>محمد ابراهيم عبد اللطيف السيد</t>
  </si>
  <si>
    <t>2555223862</t>
  </si>
  <si>
    <t xml:space="preserve">1 سنه 0 شهر 22 يوم </t>
  </si>
  <si>
    <t>?</t>
  </si>
  <si>
    <t>3132283478@altanmiyah.edu.sa</t>
  </si>
  <si>
    <t>SA5005000068204877929000</t>
  </si>
  <si>
    <t>3067</t>
  </si>
  <si>
    <t>2555224332</t>
  </si>
  <si>
    <t xml:space="preserve">1 سنه 0 شهر 21 يوم </t>
  </si>
  <si>
    <t>3132283783@altanmiyah.edu.sa</t>
  </si>
  <si>
    <t>SA4805000068204880685000</t>
  </si>
  <si>
    <t>3069</t>
  </si>
  <si>
    <t>فارس مصباح على عبد الرحمن</t>
  </si>
  <si>
    <t>2555220850</t>
  </si>
  <si>
    <t>3132283791@altanmiyah.edu.sa</t>
  </si>
  <si>
    <t>SA4305000068204884277000</t>
  </si>
  <si>
    <t>3070</t>
  </si>
  <si>
    <t>محمد سيد عبد الجواد عبد الله</t>
  </si>
  <si>
    <t>2554811279</t>
  </si>
  <si>
    <t>3148735172@altanmiyah.edu.sa</t>
  </si>
  <si>
    <t>SA3580000640608012671299</t>
  </si>
  <si>
    <t>3079</t>
  </si>
  <si>
    <t>محمد عبد المنعم ابراهيم احمد</t>
  </si>
  <si>
    <t>2555873526</t>
  </si>
  <si>
    <t xml:space="preserve">1 سنه 0 شهر 16 يوم </t>
  </si>
  <si>
    <t>18</t>
  </si>
  <si>
    <t>3132283999@altanmiyah.edu.sa</t>
  </si>
  <si>
    <t>SA7405000068204901117000</t>
  </si>
  <si>
    <t>3100</t>
  </si>
  <si>
    <t>دينا محمد حسن شعبان</t>
  </si>
  <si>
    <t>2555226188</t>
  </si>
  <si>
    <t xml:space="preserve">1 سنه 0 شهر 19 يوم </t>
  </si>
  <si>
    <t>0548509166</t>
  </si>
  <si>
    <t>3141629463@altanmiyah.edu.sa</t>
  </si>
  <si>
    <t>SA0305000068204885562000</t>
  </si>
  <si>
    <t>3107</t>
  </si>
  <si>
    <t>وضحى مطلق العتيبي</t>
  </si>
  <si>
    <t>1076370491</t>
  </si>
  <si>
    <t>500777013</t>
  </si>
  <si>
    <t>ww_asd@icloud.com</t>
  </si>
  <si>
    <t>SA9480000359608010164033</t>
  </si>
  <si>
    <t>3206</t>
  </si>
  <si>
    <t>نهال سليمان  الشبرمي</t>
  </si>
  <si>
    <t>1086472568</t>
  </si>
  <si>
    <t>500131813</t>
  </si>
  <si>
    <t>Nehalalshobrami@hotmail.com</t>
  </si>
  <si>
    <t>SA8905000068204924097000</t>
  </si>
  <si>
    <t>3207</t>
  </si>
  <si>
    <t>1058962182</t>
  </si>
  <si>
    <t>508187827</t>
  </si>
  <si>
    <t>3ZIZA.mohamad@gmail.com</t>
  </si>
  <si>
    <t>SA5305000068204932383000</t>
  </si>
  <si>
    <t>3213</t>
  </si>
  <si>
    <t>امل سلمان العنزي</t>
  </si>
  <si>
    <t>1067909166</t>
  </si>
  <si>
    <t xml:space="preserve">1 سنه 0 شهر 9 يوم </t>
  </si>
  <si>
    <t>533350378</t>
  </si>
  <si>
    <t>amal-salman18@hotmail.com</t>
  </si>
  <si>
    <t>SA3605000068204926806000</t>
  </si>
  <si>
    <t>3284</t>
  </si>
  <si>
    <t xml:space="preserve">بدور نشاء البقمي </t>
  </si>
  <si>
    <t>1085724225</t>
  </si>
  <si>
    <t xml:space="preserve">0 سنه 11 شهر 23 يوم </t>
  </si>
  <si>
    <t>533260893</t>
  </si>
  <si>
    <t>Beedoo.5565@gmail.com</t>
  </si>
  <si>
    <t>SA3880000620608016011470</t>
  </si>
  <si>
    <t>3409</t>
  </si>
  <si>
    <t>محمد  علي</t>
  </si>
  <si>
    <t>2555671722</t>
  </si>
  <si>
    <t xml:space="preserve">1 سنه 0 شهر 10 يوم </t>
  </si>
  <si>
    <t>118</t>
  </si>
  <si>
    <t>3144143207@altanmiyah.edu.sa</t>
  </si>
  <si>
    <t>SA8930400197088754630013</t>
  </si>
  <si>
    <t>3441</t>
  </si>
  <si>
    <t>فيضان  احمد</t>
  </si>
  <si>
    <t>2555671813</t>
  </si>
  <si>
    <t>119</t>
  </si>
  <si>
    <t>3144143215@altanmiyah.edu.sa</t>
  </si>
  <si>
    <t>SA8205000068204921133000</t>
  </si>
  <si>
    <t>3442</t>
  </si>
  <si>
    <t>2163488170</t>
  </si>
  <si>
    <t xml:space="preserve">1 سنه 0 شهر 1 يوم </t>
  </si>
  <si>
    <t>567326335</t>
  </si>
  <si>
    <t>sulimansaddig@gmail.com</t>
  </si>
  <si>
    <t>SA8705000068200653421000</t>
  </si>
  <si>
    <t>3460</t>
  </si>
  <si>
    <t>2354999100</t>
  </si>
  <si>
    <t xml:space="preserve">0 سنه 10 شهر 26 يوم </t>
  </si>
  <si>
    <t>568032979</t>
  </si>
  <si>
    <t>mohwinxp50@gmail.com</t>
  </si>
  <si>
    <t>SA3405000068203185447001</t>
  </si>
  <si>
    <t>3503</t>
  </si>
  <si>
    <t>1094151030</t>
  </si>
  <si>
    <t xml:space="preserve">0 سنه 10 شهر 20 يوم </t>
  </si>
  <si>
    <t>546084587</t>
  </si>
  <si>
    <t>SA9780000132608012020948</t>
  </si>
  <si>
    <t>3508</t>
  </si>
  <si>
    <t>1100905122</t>
  </si>
  <si>
    <t xml:space="preserve">0 سنه 9 شهر 9 يوم </t>
  </si>
  <si>
    <t>554808786</t>
  </si>
  <si>
    <t>azizalsale@gmail.com</t>
  </si>
  <si>
    <t>SA9880000521608010217941</t>
  </si>
  <si>
    <t>3577</t>
  </si>
  <si>
    <t>مبارك صالح مبارك ال عمار الدوسري</t>
  </si>
  <si>
    <t>1093674008</t>
  </si>
  <si>
    <t xml:space="preserve">0 سنه 7 شهر 21 يوم </t>
  </si>
  <si>
    <t>0</t>
  </si>
  <si>
    <t>597713034</t>
  </si>
  <si>
    <t>SA1280000165608015552210</t>
  </si>
  <si>
    <t>3625</t>
  </si>
  <si>
    <t>2330390598</t>
  </si>
  <si>
    <t xml:space="preserve">0 سنه 7 شهر 14 يوم </t>
  </si>
  <si>
    <t>551649814</t>
  </si>
  <si>
    <t>alazab754@gmail.com</t>
  </si>
  <si>
    <t>SA0780000470608010345222</t>
  </si>
  <si>
    <t>3640</t>
  </si>
  <si>
    <t>هبة عبد الفتاح محمد عبد الهادي</t>
  </si>
  <si>
    <t>تركت العمل</t>
  </si>
  <si>
    <t>2552495786</t>
  </si>
  <si>
    <t>مدير مرحلة</t>
  </si>
  <si>
    <t xml:space="preserve">1 سنه 0 شهر 8 يوم </t>
  </si>
  <si>
    <t>548380647</t>
  </si>
  <si>
    <t>Hebaosamasamir@gmail.com</t>
  </si>
  <si>
    <t>SA2215000900140794000001</t>
  </si>
  <si>
    <t>3738</t>
  </si>
  <si>
    <t>نورا حمادة محمد حامد</t>
  </si>
  <si>
    <t>2542860271</t>
  </si>
  <si>
    <t xml:space="preserve">1 سنه 1 شهر 1 يوم </t>
  </si>
  <si>
    <t>597384432</t>
  </si>
  <si>
    <t>نقدى</t>
  </si>
  <si>
    <t>3740</t>
  </si>
  <si>
    <t>2243227226</t>
  </si>
  <si>
    <t xml:space="preserve">0 سنه 11 شهر 4 يوم </t>
  </si>
  <si>
    <t>542922347</t>
  </si>
  <si>
    <t>SA8905000068203520798000</t>
  </si>
  <si>
    <t>3745</t>
  </si>
  <si>
    <t>وليد محمد صالح محمود الصده</t>
  </si>
  <si>
    <t>3182378202</t>
  </si>
  <si>
    <t xml:space="preserve">0 سنه 1 شهر 1 يوم </t>
  </si>
  <si>
    <t>21069562299</t>
  </si>
  <si>
    <t>memoleodows@gmail.com</t>
  </si>
  <si>
    <t>3842</t>
  </si>
  <si>
    <t>محمود جمعه مصرى عبدالعزيز</t>
  </si>
  <si>
    <t>3183301732</t>
  </si>
  <si>
    <t>20111545823</t>
  </si>
  <si>
    <t>3843</t>
  </si>
  <si>
    <t>3182378301</t>
  </si>
  <si>
    <t>amro.mohammed@yahoo.com</t>
  </si>
  <si>
    <t>3844</t>
  </si>
  <si>
    <t>محمد مدحت حلمى حسن</t>
  </si>
  <si>
    <t>3183301807</t>
  </si>
  <si>
    <t>3846</t>
  </si>
  <si>
    <t>امانى فهمى جمال محمد لاشين</t>
  </si>
  <si>
    <t>3182377907</t>
  </si>
  <si>
    <t>3847</t>
  </si>
  <si>
    <t>مصطفى محمد عبد الغنى ادودار</t>
  </si>
  <si>
    <t>3188374197</t>
  </si>
  <si>
    <t>1116519080</t>
  </si>
  <si>
    <t>abdelghany999@gmail.com</t>
  </si>
  <si>
    <t>3890</t>
  </si>
  <si>
    <t>ايمن محمد على مصباح عطوه</t>
  </si>
  <si>
    <t>3188367209</t>
  </si>
  <si>
    <t>542588417</t>
  </si>
  <si>
    <t>3939</t>
  </si>
  <si>
    <t>محمد عبدالسميع احمد محمد</t>
  </si>
  <si>
    <t>2312567122</t>
  </si>
  <si>
    <t>580988443</t>
  </si>
  <si>
    <t>ma9171146@gmail.com</t>
  </si>
  <si>
    <t>SA7305000068200260699001</t>
  </si>
  <si>
    <t>3948</t>
  </si>
  <si>
    <t>احمد محمد الصوفى سعد</t>
  </si>
  <si>
    <t>3188367407</t>
  </si>
  <si>
    <t>500520431</t>
  </si>
  <si>
    <t>ahmedsofi244@gmail.com</t>
  </si>
  <si>
    <t>3958</t>
  </si>
  <si>
    <t>منيره عبدالله مناحي البقمي</t>
  </si>
  <si>
    <t>1106611849</t>
  </si>
  <si>
    <t xml:space="preserve">0 سنه 0 شهر 22 يوم </t>
  </si>
  <si>
    <t>564576775</t>
  </si>
  <si>
    <t>SA5480000264608016114051</t>
  </si>
  <si>
    <t>3978</t>
  </si>
  <si>
    <t>1090590280</t>
  </si>
  <si>
    <t xml:space="preserve">0 سنه 0 شهر 25 يوم </t>
  </si>
  <si>
    <t>507557516</t>
  </si>
  <si>
    <t>SA3180000696608010800448</t>
  </si>
  <si>
    <t>3979</t>
  </si>
  <si>
    <t>ابتسام احمد محمد القحطاني</t>
  </si>
  <si>
    <t>1116249226</t>
  </si>
  <si>
    <t>504383433</t>
  </si>
  <si>
    <t>ibt.3003@gmail.com</t>
  </si>
  <si>
    <t>SA9580000395608016003652</t>
  </si>
  <si>
    <t>3981</t>
  </si>
  <si>
    <t>مروة عادل عبدالباقي سيد احمد</t>
  </si>
  <si>
    <t>المسار المصري رحاب المعرفة</t>
  </si>
  <si>
    <t>3141629273</t>
  </si>
  <si>
    <t>mohammedradwan787@gmail.com</t>
  </si>
  <si>
    <t>4058</t>
  </si>
  <si>
    <t>منقولة من المدينة الاكاديمية</t>
  </si>
  <si>
    <t>من المستقطبين الجدد</t>
  </si>
  <si>
    <t>منقولة من دار البراءة</t>
  </si>
  <si>
    <t>نورة عبدالعزيز الغانم</t>
  </si>
  <si>
    <t>منقولة من الدبلومة برحاب المعرفة</t>
  </si>
  <si>
    <t>فاطمة هاني عقدة</t>
  </si>
  <si>
    <t>بالدبلومة الامريكية من العام الماضي</t>
  </si>
  <si>
    <t>نهال حسين علي احمد</t>
  </si>
  <si>
    <t>لينة عصام الدين سنوسي</t>
  </si>
  <si>
    <t>فاتن ماهر محمد</t>
  </si>
  <si>
    <t>اميرة محمود هلال</t>
  </si>
  <si>
    <t>KG1</t>
  </si>
  <si>
    <t>KG2</t>
  </si>
  <si>
    <t>KG3</t>
  </si>
  <si>
    <t>الرخصة المهنية</t>
  </si>
  <si>
    <t>ناهد يحى محسن بعزفي</t>
  </si>
  <si>
    <t>حنان خالد عبدالمحسن الغربي</t>
  </si>
  <si>
    <t xml:space="preserve">العلوم البيولوجية </t>
  </si>
  <si>
    <t>محمد علي</t>
  </si>
  <si>
    <t>الفصل</t>
  </si>
  <si>
    <t>إجمالي الطاقة الاستيعابية للابتدائي بنات</t>
  </si>
  <si>
    <t>إجمالي الطاقة الاستيعابية للابتدائي بنين</t>
  </si>
  <si>
    <t>إجمالي الطاقة الاستيعابية للمتوسط بنات</t>
  </si>
  <si>
    <t>إجمالي الطاقة الاستيعابية للمتوسط بنين</t>
  </si>
  <si>
    <t>احمد حسنين عبداللطيف الفراج</t>
  </si>
  <si>
    <t>إبراهيم شبكة</t>
  </si>
  <si>
    <t>عبدالرحمن عبدالغني بدوي شطا</t>
  </si>
  <si>
    <t>احمد توفيق</t>
  </si>
  <si>
    <t>مادة التدريس</t>
  </si>
  <si>
    <t xml:space="preserve"> لغة عربية</t>
  </si>
  <si>
    <t xml:space="preserve"> اسلاميات</t>
  </si>
  <si>
    <t xml:space="preserve"> مهارات رقمية</t>
  </si>
  <si>
    <t>ليسانس ازهر</t>
  </si>
  <si>
    <t xml:space="preserve"> تربية فنية</t>
  </si>
  <si>
    <t xml:space="preserve"> تربية بدنية</t>
  </si>
  <si>
    <t xml:space="preserve"> علوم</t>
  </si>
  <si>
    <t>هشام حمدى رسمى عزب</t>
  </si>
  <si>
    <t>احمد نصر الجنيدى رزق</t>
  </si>
  <si>
    <t>3105@altanmiyah.edu.sa</t>
  </si>
  <si>
    <t>4716@altanmiyah.edu.sa</t>
  </si>
  <si>
    <t xml:space="preserve"> a.shata@altanmiyah.edu.sa</t>
  </si>
  <si>
    <t xml:space="preserve">عيد فهد عياد هادي العتيبي </t>
  </si>
  <si>
    <t>4897@altanmiyah.edu.sa</t>
  </si>
  <si>
    <t>محمد محمود العشماوى متولى</t>
  </si>
  <si>
    <t>4734@altanmiyah.edu.sa</t>
  </si>
  <si>
    <t>احمد إمحمد براهيم السيد سالم</t>
  </si>
  <si>
    <t>4811@altanmiyah.edu.sa</t>
  </si>
  <si>
    <t>حسن جوده حسن محمد</t>
  </si>
  <si>
    <t>h.joudah@altanmiyah.edu.sa</t>
  </si>
  <si>
    <t>70@altanmiyah.edu.sa</t>
  </si>
  <si>
    <t>3067@altanmiyah.edu.sa</t>
  </si>
  <si>
    <t>ameerjalal@altanmiyah.edu.sa</t>
  </si>
  <si>
    <t>3844@altanmiyah.edu.sa</t>
  </si>
  <si>
    <t>72@altanmiyah.edu.sa</t>
  </si>
  <si>
    <t>3939@altanmiyah.edu.sa</t>
  </si>
  <si>
    <t>98@altanmiyah.edu.sa</t>
  </si>
  <si>
    <t>3079@altanmiyah.edu.sa</t>
  </si>
  <si>
    <t>3460@altanmiyah.edu.sa</t>
  </si>
  <si>
    <t>3958@altanmiyah.edu.sa</t>
  </si>
  <si>
    <t>76@altanmiyah.edu.sa</t>
  </si>
  <si>
    <t>3070@altanmiyah.edu.sa</t>
  </si>
  <si>
    <t>M.Samir@altanmiyah.edu.sa</t>
  </si>
  <si>
    <t>M.Saber@altanmiyah.edu.sa</t>
  </si>
  <si>
    <t>3843@altanmiyah.edu.sa</t>
  </si>
  <si>
    <t>A.Bahidi@altanmiyah.edu.sa</t>
  </si>
  <si>
    <t>3069@altanmiyah.edu.sa</t>
  </si>
  <si>
    <t>3842@altanmiyah.edu.sa</t>
  </si>
  <si>
    <t>H.Abughanima@altanmiyah.edu.sa</t>
  </si>
  <si>
    <t>M.Nasr@altanmiyah.edu.sa</t>
  </si>
  <si>
    <t>A.Mesbah@altanmiyah.edu.sa</t>
  </si>
  <si>
    <t>H.Alkhatib@altanmiyah.edu.sa</t>
  </si>
  <si>
    <t>3890@altanmiyah.edu.sa</t>
  </si>
  <si>
    <t>3100@altanmiyah.edu.sa</t>
  </si>
  <si>
    <t>Hossam.Ali@altanmiyah.edu.sa</t>
  </si>
  <si>
    <t>3846@altanmiyah.edu.sa</t>
  </si>
  <si>
    <t>مهارات رقمية</t>
  </si>
  <si>
    <t>4411@altanmiyah.edu.sa</t>
  </si>
  <si>
    <t>3979@altanmiyah.edu.sa</t>
  </si>
  <si>
    <t>4073@altanmiyah.edu.sa</t>
  </si>
  <si>
    <t>3847@altanmiyah.edu.sa</t>
  </si>
  <si>
    <t>حنان مطيران رجاء العنزي</t>
  </si>
  <si>
    <t>777@altanmiyah.edu.sa</t>
  </si>
  <si>
    <t>هدى سعد نافع المطيري</t>
  </si>
  <si>
    <t>h.almutairy@dab-schools.edu.sa</t>
  </si>
  <si>
    <t xml:space="preserve">سلطانة فرحان عوض العصيمي العتيبي </t>
  </si>
  <si>
    <t>4467@altanmiyah.edu.sa</t>
  </si>
  <si>
    <t>4454@altanmiyah.edu.sa</t>
  </si>
  <si>
    <t xml:space="preserve">أشواق خالد سحلي السلمي العنزي </t>
  </si>
  <si>
    <t>4613@altanmiyah.edu.sa</t>
  </si>
  <si>
    <t xml:space="preserve">الجوهرة رجاء جالي المخلفي </t>
  </si>
  <si>
    <t>4838@altanmiyah.edu.sa</t>
  </si>
  <si>
    <t xml:space="preserve">سارة منيف غزاي المخلفي </t>
  </si>
  <si>
    <t>4665@altanmiyah.edu.sa</t>
  </si>
  <si>
    <t>نوضا سعيد سعود المطيري</t>
  </si>
  <si>
    <t>4839@altanmiyah.edu.sa</t>
  </si>
  <si>
    <t xml:space="preserve">نوير عقيل محارب الشمري </t>
  </si>
  <si>
    <t>4840@altanmiyah.edu.sa</t>
  </si>
  <si>
    <t>بكالوريوس تربية نوعية</t>
  </si>
  <si>
    <t xml:space="preserve">لغه عربيه </t>
  </si>
  <si>
    <t>i.shabka@altanmiyah.edu.sa</t>
  </si>
  <si>
    <t>تفكير ناقد</t>
  </si>
  <si>
    <t>مكمل مراقب دور</t>
  </si>
  <si>
    <t>مكمل (٨) بالمتوسط</t>
  </si>
  <si>
    <t>بدنية-رقمية</t>
  </si>
  <si>
    <t>اسرية-بدنية</t>
  </si>
  <si>
    <t>تاريخ - بحث - مجال اختياري - اسرية</t>
  </si>
  <si>
    <t>اجتماعيات - اسرية - ناقد - رقمية</t>
  </si>
  <si>
    <t>بدنية - رقمية</t>
  </si>
  <si>
    <t>ناقد - مجال اخياري</t>
  </si>
  <si>
    <t>المقاعد الشاغرة</t>
  </si>
  <si>
    <t xml:space="preserve">المجموع العام للمجمع </t>
  </si>
  <si>
    <t>العفيفي عبد الجواد</t>
  </si>
  <si>
    <t>معلم صف أول</t>
  </si>
  <si>
    <r>
      <rPr>
        <b/>
        <sz val="14"/>
        <color rgb="FF0070C0"/>
        <rFont val="Arial"/>
        <family val="2"/>
      </rPr>
      <t>(٨)</t>
    </r>
    <r>
      <rPr>
        <b/>
        <sz val="14"/>
        <color rgb="FF00B050"/>
        <rFont val="Arial"/>
        <family val="2"/>
      </rPr>
      <t xml:space="preserve"> لغتي ص١+</t>
    </r>
    <r>
      <rPr>
        <b/>
        <sz val="14"/>
        <color rgb="FF0070C0"/>
        <rFont val="Arial"/>
        <family val="2"/>
      </rPr>
      <t xml:space="preserve"> (٤)</t>
    </r>
    <r>
      <rPr>
        <b/>
        <sz val="14"/>
        <color rgb="FF00B050"/>
        <rFont val="Arial"/>
        <family val="2"/>
      </rPr>
      <t xml:space="preserve"> اسلاميات ص١+ </t>
    </r>
    <r>
      <rPr>
        <b/>
        <sz val="14"/>
        <color rgb="FF0070C0"/>
        <rFont val="Arial"/>
        <family val="2"/>
      </rPr>
      <t>(٥)</t>
    </r>
    <r>
      <rPr>
        <b/>
        <sz val="14"/>
        <color rgb="FF00B050"/>
        <rFont val="Arial"/>
        <family val="2"/>
      </rPr>
      <t xml:space="preserve"> رياضيات ص١+ </t>
    </r>
    <r>
      <rPr>
        <b/>
        <sz val="14"/>
        <color rgb="FF0070C0"/>
        <rFont val="Arial"/>
        <family val="2"/>
      </rPr>
      <t>(٢)</t>
    </r>
    <r>
      <rPr>
        <b/>
        <sz val="14"/>
        <color rgb="FF00B050"/>
        <rFont val="Arial"/>
        <family val="2"/>
      </rPr>
      <t xml:space="preserve"> بدنية ص١+</t>
    </r>
    <r>
      <rPr>
        <b/>
        <sz val="14"/>
        <color rgb="FF0070C0"/>
        <rFont val="Arial"/>
        <family val="2"/>
      </rPr>
      <t xml:space="preserve"> (١)</t>
    </r>
    <r>
      <rPr>
        <b/>
        <sz val="14"/>
        <color rgb="FF00B050"/>
        <rFont val="Arial"/>
        <family val="2"/>
      </rPr>
      <t xml:space="preserve"> مهارات حياتية ص١ + </t>
    </r>
    <r>
      <rPr>
        <b/>
        <sz val="14"/>
        <color rgb="FF0070C0"/>
        <rFont val="Arial"/>
        <family val="2"/>
      </rPr>
      <t>(1)</t>
    </r>
    <r>
      <rPr>
        <b/>
        <sz val="14"/>
        <color rgb="FF00B050"/>
        <rFont val="Arial"/>
        <family val="2"/>
      </rPr>
      <t xml:space="preserve"> فنية ص١ + </t>
    </r>
    <r>
      <rPr>
        <b/>
        <sz val="14"/>
        <color rgb="FF0070C0"/>
        <rFont val="Arial"/>
        <family val="2"/>
      </rPr>
      <t>(3)</t>
    </r>
    <r>
      <rPr>
        <b/>
        <sz val="14"/>
        <color rgb="FF00B050"/>
        <rFont val="Arial"/>
        <family val="2"/>
      </rPr>
      <t xml:space="preserve"> علوم ص1</t>
    </r>
  </si>
  <si>
    <t>محمود عبدالحسيب</t>
  </si>
  <si>
    <t>عبد العزيز يونس</t>
  </si>
  <si>
    <t>معلم صف ثاني</t>
  </si>
  <si>
    <r>
      <rPr>
        <b/>
        <sz val="14"/>
        <color rgb="FF0070C0"/>
        <rFont val="Arial"/>
        <family val="2"/>
      </rPr>
      <t>(١٤)</t>
    </r>
    <r>
      <rPr>
        <b/>
        <sz val="14"/>
        <color rgb="FF00B050"/>
        <rFont val="Arial"/>
        <family val="2"/>
      </rPr>
      <t xml:space="preserve"> لغتي ص٢ فصلين + </t>
    </r>
    <r>
      <rPr>
        <b/>
        <sz val="14"/>
        <color rgb="FF0070C0"/>
        <rFont val="Arial"/>
        <family val="2"/>
      </rPr>
      <t>(١٠)</t>
    </r>
    <r>
      <rPr>
        <b/>
        <sz val="14"/>
        <color rgb="FF00B050"/>
        <rFont val="Arial"/>
        <family val="2"/>
      </rPr>
      <t xml:space="preserve"> اسلاميات ص٢ فصلين </t>
    </r>
  </si>
  <si>
    <t>حسن عزالدين مبروك</t>
  </si>
  <si>
    <t>معلم صف ثالث</t>
  </si>
  <si>
    <r>
      <rPr>
        <b/>
        <sz val="14"/>
        <color rgb="FF0070C0"/>
        <rFont val="Arial"/>
        <family val="2"/>
      </rPr>
      <t>(١٤)</t>
    </r>
    <r>
      <rPr>
        <b/>
        <sz val="14"/>
        <color rgb="FF00B050"/>
        <rFont val="Arial"/>
        <family val="2"/>
      </rPr>
      <t xml:space="preserve"> لغتي ص٣ فصلين(2/4 ، 3/4) +</t>
    </r>
    <r>
      <rPr>
        <b/>
        <sz val="14"/>
        <color rgb="FF0070C0"/>
        <rFont val="Arial"/>
        <family val="2"/>
      </rPr>
      <t xml:space="preserve"> (١٠)</t>
    </r>
    <r>
      <rPr>
        <b/>
        <sz val="14"/>
        <color rgb="FF00B050"/>
        <rFont val="Arial"/>
        <family val="2"/>
      </rPr>
      <t xml:space="preserve"> اسلاميات ص٣ فصلين +</t>
    </r>
    <r>
      <rPr>
        <b/>
        <sz val="14"/>
        <color rgb="FF0070C0"/>
        <rFont val="Arial"/>
        <family val="2"/>
      </rPr>
      <t xml:space="preserve">(٢) </t>
    </r>
    <r>
      <rPr>
        <b/>
        <sz val="14"/>
        <color rgb="FF00B050"/>
        <rFont val="Arial"/>
        <family val="2"/>
      </rPr>
      <t>مهارات حياتية ص٣ فصلين</t>
    </r>
  </si>
  <si>
    <t>سلمان حمد الفراج</t>
  </si>
  <si>
    <r>
      <rPr>
        <b/>
        <sz val="14"/>
        <color rgb="FF0070C0"/>
        <rFont val="Arial"/>
        <family val="2"/>
      </rPr>
      <t>(١٢)</t>
    </r>
    <r>
      <rPr>
        <b/>
        <sz val="14"/>
        <color rgb="FF00B050"/>
        <rFont val="Arial"/>
        <family val="2"/>
      </rPr>
      <t xml:space="preserve"> اسلاميات ص٤ فصلين (2/4 ،3/4)+ </t>
    </r>
    <r>
      <rPr>
        <b/>
        <sz val="14"/>
        <color rgb="FF0070C0"/>
        <rFont val="Arial"/>
        <family val="2"/>
      </rPr>
      <t>(٨)</t>
    </r>
    <r>
      <rPr>
        <b/>
        <sz val="14"/>
        <color rgb="FF00B050"/>
        <rFont val="Arial"/>
        <family val="2"/>
      </rPr>
      <t xml:space="preserve"> اسلاميات ص٥+ </t>
    </r>
    <r>
      <rPr>
        <b/>
        <sz val="14"/>
        <color rgb="FF0070C0"/>
        <rFont val="Arial"/>
        <family val="2"/>
      </rPr>
      <t>(٤)</t>
    </r>
    <r>
      <rPr>
        <b/>
        <sz val="14"/>
        <color rgb="FF00B050"/>
        <rFont val="Arial"/>
        <family val="2"/>
      </rPr>
      <t xml:space="preserve"> اسلاميات ص٦ فصلين</t>
    </r>
  </si>
  <si>
    <t>محمد الغباشي</t>
  </si>
  <si>
    <r>
      <rPr>
        <b/>
        <sz val="14"/>
        <color rgb="FF0070C0"/>
        <rFont val="Arial"/>
        <family val="2"/>
      </rPr>
      <t>(٥)</t>
    </r>
    <r>
      <rPr>
        <b/>
        <sz val="14"/>
        <color rgb="FF00B050"/>
        <rFont val="Arial"/>
        <family val="2"/>
      </rPr>
      <t xml:space="preserve"> لغتي ص 4 فصل(2/4) + </t>
    </r>
    <r>
      <rPr>
        <b/>
        <sz val="14"/>
        <color rgb="FF0070C0"/>
        <rFont val="Arial"/>
        <family val="2"/>
      </rPr>
      <t>(١٠)</t>
    </r>
    <r>
      <rPr>
        <b/>
        <sz val="14"/>
        <color rgb="FF00B050"/>
        <rFont val="Arial"/>
        <family val="2"/>
      </rPr>
      <t xml:space="preserve"> لغتي ص٥ فصلين +</t>
    </r>
    <r>
      <rPr>
        <b/>
        <sz val="14"/>
        <color rgb="FF0070C0"/>
        <rFont val="Arial"/>
        <family val="2"/>
      </rPr>
      <t>(١٠)</t>
    </r>
    <r>
      <rPr>
        <b/>
        <sz val="14"/>
        <color rgb="FF00B050"/>
        <rFont val="Arial"/>
        <family val="2"/>
      </rPr>
      <t xml:space="preserve"> لغتي ص٦ فصلين</t>
    </r>
  </si>
  <si>
    <t>طارق عبدالظاهر</t>
  </si>
  <si>
    <r>
      <rPr>
        <b/>
        <sz val="14"/>
        <color rgb="FF0070C0"/>
        <rFont val="Arial"/>
        <family val="2"/>
      </rPr>
      <t>(18)</t>
    </r>
    <r>
      <rPr>
        <b/>
        <sz val="14"/>
        <color rgb="FF00B050"/>
        <rFont val="Arial"/>
        <family val="2"/>
      </rPr>
      <t xml:space="preserve"> رياضيات ص٤ +</t>
    </r>
    <r>
      <rPr>
        <b/>
        <sz val="14"/>
        <color rgb="FF0070C0"/>
        <rFont val="Arial"/>
        <family val="2"/>
      </rPr>
      <t>(6)</t>
    </r>
    <r>
      <rPr>
        <b/>
        <sz val="14"/>
        <color rgb="FF00B050"/>
        <rFont val="Arial"/>
        <family val="2"/>
      </rPr>
      <t xml:space="preserve"> رياضيات ص٥ فصل</t>
    </r>
  </si>
  <si>
    <r>
      <t>احمد سالم</t>
    </r>
    <r>
      <rPr>
        <b/>
        <sz val="14"/>
        <color rgb="FFFF0000"/>
        <rFont val="Arial"/>
        <family val="2"/>
      </rPr>
      <t xml:space="preserve"> </t>
    </r>
  </si>
  <si>
    <r>
      <rPr>
        <b/>
        <sz val="14"/>
        <color rgb="FF0070C0"/>
        <rFont val="Arial"/>
        <family val="2"/>
      </rPr>
      <t>(١٢)</t>
    </r>
    <r>
      <rPr>
        <b/>
        <sz val="14"/>
        <color rgb="FF00B050"/>
        <rFont val="Arial"/>
        <family val="2"/>
      </rPr>
      <t xml:space="preserve"> رياضيات ص٦ فصلين  + مسند (6) رياضيات ص5 فصل + (5) نشاط ص4 وص5 + (1) نشاط ص6 فصل</t>
    </r>
  </si>
  <si>
    <t xml:space="preserve">عمرو محمد </t>
  </si>
  <si>
    <r>
      <rPr>
        <b/>
        <sz val="14"/>
        <color rgb="FF0070C0"/>
        <rFont val="Arial"/>
        <family val="2"/>
      </rPr>
      <t>(12)</t>
    </r>
    <r>
      <rPr>
        <b/>
        <sz val="14"/>
        <color rgb="FF00B050"/>
        <rFont val="Arial"/>
        <family val="2"/>
      </rPr>
      <t xml:space="preserve"> رياضيات ص٢ ب فصلين+(</t>
    </r>
    <r>
      <rPr>
        <b/>
        <sz val="14"/>
        <color rgb="FF0070C0"/>
        <rFont val="Arial"/>
        <family val="2"/>
      </rPr>
      <t>12)</t>
    </r>
    <r>
      <rPr>
        <b/>
        <sz val="14"/>
        <color rgb="FF00B050"/>
        <rFont val="Arial"/>
        <family val="2"/>
      </rPr>
      <t xml:space="preserve"> رياضيات ص٣ فصلين </t>
    </r>
  </si>
  <si>
    <t>ربيع عوض</t>
  </si>
  <si>
    <r>
      <rPr>
        <b/>
        <sz val="14"/>
        <color rgb="FF0070C0"/>
        <rFont val="Arial"/>
        <family val="2"/>
      </rPr>
      <t xml:space="preserve">(٦) </t>
    </r>
    <r>
      <rPr>
        <b/>
        <sz val="14"/>
        <color rgb="FF00B050"/>
        <rFont val="Arial"/>
        <family val="2"/>
      </rPr>
      <t xml:space="preserve">E ص٥ + </t>
    </r>
    <r>
      <rPr>
        <b/>
        <sz val="14"/>
        <color rgb="FF0070C0"/>
        <rFont val="Arial"/>
        <family val="2"/>
      </rPr>
      <t>(٦)</t>
    </r>
    <r>
      <rPr>
        <b/>
        <sz val="14"/>
        <color rgb="FF00B050"/>
        <rFont val="Arial"/>
        <family val="2"/>
      </rPr>
      <t xml:space="preserve"> E ص٦ + </t>
    </r>
    <r>
      <rPr>
        <b/>
        <sz val="14"/>
        <color rgb="FF0070C0"/>
        <rFont val="Arial"/>
        <family val="2"/>
      </rPr>
      <t>(٩)</t>
    </r>
    <r>
      <rPr>
        <b/>
        <sz val="14"/>
        <color rgb="FF00B050"/>
        <rFont val="Arial"/>
        <family val="2"/>
      </rPr>
      <t xml:space="preserve"> E ص٤ + </t>
    </r>
    <r>
      <rPr>
        <b/>
        <sz val="14"/>
        <color rgb="FF0070C0"/>
        <rFont val="Arial"/>
        <family val="2"/>
      </rPr>
      <t>(2)</t>
    </r>
    <r>
      <rPr>
        <b/>
        <sz val="14"/>
        <color rgb="FF00B050"/>
        <rFont val="Arial"/>
        <family val="2"/>
      </rPr>
      <t xml:space="preserve"> انجليزي إثرائي ص6 + (1) نشاط ص6 فصل</t>
    </r>
  </si>
  <si>
    <t>محمد السيد</t>
  </si>
  <si>
    <r>
      <rPr>
        <b/>
        <sz val="14"/>
        <color rgb="FF0070C0"/>
        <rFont val="Arial"/>
        <family val="2"/>
      </rPr>
      <t xml:space="preserve"> (٦)</t>
    </r>
    <r>
      <rPr>
        <b/>
        <sz val="14"/>
        <color rgb="FF00B050"/>
        <rFont val="Arial"/>
        <family val="2"/>
      </rPr>
      <t xml:space="preserve"> E ص٣ + + </t>
    </r>
    <r>
      <rPr>
        <b/>
        <sz val="14"/>
        <color rgb="FF0070C0"/>
        <rFont val="Arial"/>
        <family val="2"/>
      </rPr>
      <t>(٤)</t>
    </r>
    <r>
      <rPr>
        <b/>
        <sz val="14"/>
        <color rgb="FF00B050"/>
        <rFont val="Arial"/>
        <family val="2"/>
      </rPr>
      <t xml:space="preserve"> E اثرائي ص3  + </t>
    </r>
    <r>
      <rPr>
        <b/>
        <sz val="14"/>
        <color rgb="FF0070C0"/>
        <rFont val="Arial"/>
        <family val="2"/>
      </rPr>
      <t>(٦)</t>
    </r>
    <r>
      <rPr>
        <b/>
        <sz val="14"/>
        <color rgb="FF00B050"/>
        <rFont val="Arial"/>
        <family val="2"/>
      </rPr>
      <t xml:space="preserve"> E اثرائي ص٤ + </t>
    </r>
    <r>
      <rPr>
        <b/>
        <sz val="14"/>
        <color rgb="FF0070C0"/>
        <rFont val="Arial"/>
        <family val="2"/>
      </rPr>
      <t>(2)</t>
    </r>
    <r>
      <rPr>
        <b/>
        <sz val="14"/>
        <color rgb="FF00B050"/>
        <rFont val="Arial"/>
        <family val="2"/>
      </rPr>
      <t xml:space="preserve"> E اثرائي ص٦+ </t>
    </r>
    <r>
      <rPr>
        <b/>
        <sz val="14"/>
        <color rgb="FF0070C0"/>
        <rFont val="Arial"/>
        <family val="2"/>
      </rPr>
      <t>(٤)</t>
    </r>
    <r>
      <rPr>
        <b/>
        <sz val="14"/>
        <color rgb="FF00B050"/>
        <rFont val="Arial"/>
        <family val="2"/>
      </rPr>
      <t xml:space="preserve"> E اثراىي ص٥ +(2) انجليزي اثرائي ص2 فصل</t>
    </r>
  </si>
  <si>
    <t>احمد حسنين</t>
  </si>
  <si>
    <r>
      <rPr>
        <b/>
        <sz val="14"/>
        <color rgb="FF0070C0"/>
        <rFont val="Arial"/>
        <family val="2"/>
      </rPr>
      <t>(6)</t>
    </r>
    <r>
      <rPr>
        <b/>
        <sz val="14"/>
        <color rgb="FF00B050"/>
        <rFont val="Arial"/>
        <family val="2"/>
      </rPr>
      <t xml:space="preserve"> E ص١+ </t>
    </r>
    <r>
      <rPr>
        <b/>
        <sz val="14"/>
        <color rgb="FF0070C0"/>
        <rFont val="Arial"/>
        <family val="2"/>
      </rPr>
      <t>(٤)</t>
    </r>
    <r>
      <rPr>
        <b/>
        <sz val="14"/>
        <color rgb="FF00B050"/>
        <rFont val="Arial"/>
        <family val="2"/>
      </rPr>
      <t xml:space="preserve"> E اثرائي ص١+ </t>
    </r>
    <r>
      <rPr>
        <b/>
        <sz val="14"/>
        <color rgb="FF0070C0"/>
        <rFont val="Arial"/>
        <family val="2"/>
      </rPr>
      <t>(٦)</t>
    </r>
    <r>
      <rPr>
        <b/>
        <sz val="14"/>
        <color rgb="FF00B050"/>
        <rFont val="Arial"/>
        <family val="2"/>
      </rPr>
      <t xml:space="preserve"> E ص٢ + </t>
    </r>
    <r>
      <rPr>
        <b/>
        <sz val="14"/>
        <color rgb="FF0070C0"/>
        <rFont val="Arial"/>
        <family val="2"/>
      </rPr>
      <t>(2)</t>
    </r>
    <r>
      <rPr>
        <b/>
        <sz val="14"/>
        <color rgb="FF00B050"/>
        <rFont val="Arial"/>
        <family val="2"/>
      </rPr>
      <t xml:space="preserve"> E اثرائي ص٢ فصل+ </t>
    </r>
    <r>
      <rPr>
        <b/>
        <sz val="14"/>
        <color rgb="FF0070C0"/>
        <rFont val="Arial"/>
        <family val="2"/>
      </rPr>
      <t>(4)</t>
    </r>
    <r>
      <rPr>
        <b/>
        <sz val="14"/>
        <color rgb="FF00B050"/>
        <rFont val="Arial"/>
        <family val="2"/>
      </rPr>
      <t xml:space="preserve"> ماث ص١ + </t>
    </r>
    <r>
      <rPr>
        <b/>
        <sz val="14"/>
        <color rgb="FF0070C0"/>
        <rFont val="Arial"/>
        <family val="2"/>
      </rPr>
      <t>(٢)</t>
    </r>
    <r>
      <rPr>
        <b/>
        <sz val="14"/>
        <color rgb="FF00B050"/>
        <rFont val="Arial"/>
        <family val="2"/>
      </rPr>
      <t xml:space="preserve"> ساينس ص١</t>
    </r>
  </si>
  <si>
    <t xml:space="preserve"> ايمن محمد </t>
  </si>
  <si>
    <r>
      <rPr>
        <b/>
        <sz val="14"/>
        <color rgb="FF0070C0"/>
        <rFont val="Arial"/>
        <family val="2"/>
      </rPr>
      <t xml:space="preserve">(٦) </t>
    </r>
    <r>
      <rPr>
        <b/>
        <sz val="14"/>
        <color rgb="FF00B050"/>
        <rFont val="Arial"/>
        <family val="2"/>
      </rPr>
      <t xml:space="preserve">علوم ص2 فصلين+ </t>
    </r>
    <r>
      <rPr>
        <b/>
        <sz val="14"/>
        <color rgb="FF0070C0"/>
        <rFont val="Arial"/>
        <family val="2"/>
      </rPr>
      <t>(8)</t>
    </r>
    <r>
      <rPr>
        <b/>
        <sz val="14"/>
        <color rgb="FF00B050"/>
        <rFont val="Arial"/>
        <family val="2"/>
      </rPr>
      <t xml:space="preserve"> علوم ص٣ فصلين+</t>
    </r>
    <r>
      <rPr>
        <b/>
        <sz val="14"/>
        <color rgb="FF0070C0"/>
        <rFont val="Arial"/>
        <family val="2"/>
      </rPr>
      <t xml:space="preserve"> (٨)</t>
    </r>
    <r>
      <rPr>
        <b/>
        <sz val="14"/>
        <color rgb="FF00B050"/>
        <rFont val="Arial"/>
        <family val="2"/>
      </rPr>
      <t xml:space="preserve"> علوم ص4 فصلين(1/4،2/4)+ </t>
    </r>
    <r>
      <rPr>
        <b/>
        <sz val="14"/>
        <color rgb="FF0070C0"/>
        <rFont val="Arial"/>
        <family val="2"/>
      </rPr>
      <t>(٢)</t>
    </r>
    <r>
      <rPr>
        <b/>
        <sz val="14"/>
        <color rgb="FF00B050"/>
        <rFont val="Arial"/>
        <family val="2"/>
      </rPr>
      <t xml:space="preserve"> بدنية ص5 فصل (2/5)</t>
    </r>
  </si>
  <si>
    <t>مصطفى عبدالتواب</t>
  </si>
  <si>
    <r>
      <rPr>
        <b/>
        <sz val="14"/>
        <color rgb="FF0070C0"/>
        <rFont val="Arial"/>
        <family val="2"/>
      </rPr>
      <t xml:space="preserve">(٨) </t>
    </r>
    <r>
      <rPr>
        <b/>
        <sz val="14"/>
        <color rgb="FF00B050"/>
        <rFont val="Arial"/>
        <family val="2"/>
      </rPr>
      <t xml:space="preserve">علوم ص٥  + </t>
    </r>
    <r>
      <rPr>
        <b/>
        <sz val="14"/>
        <color rgb="FF0070C0"/>
        <rFont val="Arial"/>
        <family val="2"/>
      </rPr>
      <t>(٨)</t>
    </r>
    <r>
      <rPr>
        <b/>
        <sz val="14"/>
        <color rgb="FF00B050"/>
        <rFont val="Arial"/>
        <family val="2"/>
      </rPr>
      <t xml:space="preserve"> علوم ص٦ + </t>
    </r>
    <r>
      <rPr>
        <b/>
        <sz val="14"/>
        <color rgb="FF0070C0"/>
        <rFont val="Arial"/>
        <family val="2"/>
      </rPr>
      <t>(٤)</t>
    </r>
    <r>
      <rPr>
        <b/>
        <sz val="14"/>
        <color rgb="FF00B050"/>
        <rFont val="Arial"/>
        <family val="2"/>
      </rPr>
      <t xml:space="preserve"> علوم ص٤ + </t>
    </r>
    <r>
      <rPr>
        <b/>
        <sz val="14"/>
        <color rgb="FF0070C0"/>
        <rFont val="Arial"/>
        <family val="2"/>
      </rPr>
      <t>(٤)</t>
    </r>
    <r>
      <rPr>
        <b/>
        <sz val="14"/>
        <color rgb="FF00B050"/>
        <rFont val="Arial"/>
        <family val="2"/>
      </rPr>
      <t xml:space="preserve"> اجتماعيات ص٦</t>
    </r>
  </si>
  <si>
    <t>محمد إبراهيم</t>
  </si>
  <si>
    <r>
      <rPr>
        <b/>
        <sz val="14"/>
        <color rgb="FF0070C0"/>
        <rFont val="Arial"/>
        <family val="2"/>
      </rPr>
      <t>(١٠)</t>
    </r>
    <r>
      <rPr>
        <b/>
        <sz val="14"/>
        <color rgb="FF00B050"/>
        <rFont val="Arial"/>
        <family val="2"/>
      </rPr>
      <t xml:space="preserve"> لغتي ص٤ فصلين(1/4،3/4) + </t>
    </r>
    <r>
      <rPr>
        <b/>
        <sz val="14"/>
        <color rgb="FF0070C0"/>
        <rFont val="Arial"/>
        <family val="2"/>
      </rPr>
      <t xml:space="preserve">(٤) </t>
    </r>
    <r>
      <rPr>
        <b/>
        <sz val="14"/>
        <color rgb="FF00B050"/>
        <rFont val="Arial"/>
        <family val="2"/>
      </rPr>
      <t xml:space="preserve">اسلاميات ص4 فصل(1/4) + </t>
    </r>
    <r>
      <rPr>
        <b/>
        <sz val="14"/>
        <color rgb="FF0070C0"/>
        <rFont val="Arial"/>
        <family val="2"/>
      </rPr>
      <t>(١٠)</t>
    </r>
    <r>
      <rPr>
        <b/>
        <sz val="14"/>
        <color rgb="FF00B050"/>
        <rFont val="Arial"/>
        <family val="2"/>
      </rPr>
      <t xml:space="preserve"> اجتماعيات ص٤ فصلين ص٥ فصلين</t>
    </r>
  </si>
  <si>
    <t>رامي يسن معروف</t>
  </si>
  <si>
    <r>
      <rPr>
        <b/>
        <sz val="14"/>
        <color rgb="FF0070C0"/>
        <rFont val="Arial"/>
        <family val="2"/>
      </rPr>
      <t>(٤)</t>
    </r>
    <r>
      <rPr>
        <b/>
        <sz val="14"/>
        <color rgb="FF00B050"/>
        <rFont val="Arial"/>
        <family val="2"/>
      </rPr>
      <t xml:space="preserve"> فنية ص٢+ </t>
    </r>
    <r>
      <rPr>
        <b/>
        <sz val="14"/>
        <color rgb="FF0070C0"/>
        <rFont val="Arial"/>
        <family val="2"/>
      </rPr>
      <t>(٤)</t>
    </r>
    <r>
      <rPr>
        <b/>
        <sz val="14"/>
        <color rgb="FF00B050"/>
        <rFont val="Arial"/>
        <family val="2"/>
      </rPr>
      <t xml:space="preserve"> فنية ص٣ + </t>
    </r>
    <r>
      <rPr>
        <b/>
        <sz val="14"/>
        <color rgb="FF0070C0"/>
        <rFont val="Arial"/>
        <family val="2"/>
      </rPr>
      <t>(٣)</t>
    </r>
    <r>
      <rPr>
        <b/>
        <sz val="14"/>
        <color rgb="FF00B050"/>
        <rFont val="Arial"/>
        <family val="2"/>
      </rPr>
      <t xml:space="preserve"> فنية ص٤ + </t>
    </r>
    <r>
      <rPr>
        <b/>
        <sz val="14"/>
        <color rgb="FF0070C0"/>
        <rFont val="Arial"/>
        <family val="2"/>
      </rPr>
      <t>(٢)</t>
    </r>
    <r>
      <rPr>
        <b/>
        <sz val="14"/>
        <color rgb="FF00B050"/>
        <rFont val="Arial"/>
        <family val="2"/>
      </rPr>
      <t xml:space="preserve"> فنية ص٥ + </t>
    </r>
    <r>
      <rPr>
        <b/>
        <sz val="14"/>
        <color rgb="FF0070C0"/>
        <rFont val="Arial"/>
        <family val="2"/>
      </rPr>
      <t>(٢)</t>
    </r>
    <r>
      <rPr>
        <b/>
        <sz val="14"/>
        <color rgb="FF00B050"/>
        <rFont val="Arial"/>
        <family val="2"/>
      </rPr>
      <t xml:space="preserve"> فنية ص٦ + </t>
    </r>
    <r>
      <rPr>
        <b/>
        <sz val="14"/>
        <color rgb="FF0070C0"/>
        <rFont val="Arial"/>
        <family val="2"/>
      </rPr>
      <t>(٩)</t>
    </r>
    <r>
      <rPr>
        <b/>
        <sz val="14"/>
        <color rgb="FF00B050"/>
        <rFont val="Arial"/>
        <family val="2"/>
      </rPr>
      <t xml:space="preserve"> مهارات حياتية ص٢، ص٤، ص٥، ص٦</t>
    </r>
  </si>
  <si>
    <t>محمود وحش</t>
  </si>
  <si>
    <r>
      <rPr>
        <b/>
        <sz val="14"/>
        <color rgb="FF0070C0"/>
        <rFont val="Arial"/>
        <family val="2"/>
      </rPr>
      <t>(6)</t>
    </r>
    <r>
      <rPr>
        <b/>
        <sz val="14"/>
        <color rgb="FF00B050"/>
        <rFont val="Arial"/>
        <family val="2"/>
      </rPr>
      <t xml:space="preserve"> بدنية ص٣ + </t>
    </r>
    <r>
      <rPr>
        <b/>
        <sz val="14"/>
        <color rgb="FF0070C0"/>
        <rFont val="Arial"/>
        <family val="2"/>
      </rPr>
      <t>(٦)</t>
    </r>
    <r>
      <rPr>
        <b/>
        <sz val="14"/>
        <color rgb="FF00B050"/>
        <rFont val="Arial"/>
        <family val="2"/>
      </rPr>
      <t xml:space="preserve"> بدنية ص٤ + </t>
    </r>
    <r>
      <rPr>
        <b/>
        <sz val="14"/>
        <color rgb="FF0070C0"/>
        <rFont val="Arial"/>
        <family val="2"/>
      </rPr>
      <t>(6)</t>
    </r>
    <r>
      <rPr>
        <b/>
        <sz val="14"/>
        <color rgb="FF00B050"/>
        <rFont val="Arial"/>
        <family val="2"/>
      </rPr>
      <t xml:space="preserve"> بدنية ص٢  + </t>
    </r>
    <r>
      <rPr>
        <b/>
        <sz val="14"/>
        <color rgb="FF0070C0"/>
        <rFont val="Arial"/>
        <family val="2"/>
      </rPr>
      <t>(2)</t>
    </r>
    <r>
      <rPr>
        <b/>
        <sz val="14"/>
        <color rgb="FF00B050"/>
        <rFont val="Arial"/>
        <family val="2"/>
      </rPr>
      <t xml:space="preserve"> بدنية ص٥ +  (4) بدنية ص6</t>
    </r>
  </si>
  <si>
    <t>آمير جلال</t>
  </si>
  <si>
    <t>رقمية</t>
  </si>
  <si>
    <r>
      <rPr>
        <b/>
        <sz val="14"/>
        <color rgb="FF0070C0"/>
        <rFont val="Arial"/>
        <family val="2"/>
      </rPr>
      <t>(2)</t>
    </r>
    <r>
      <rPr>
        <b/>
        <sz val="14"/>
        <color rgb="FF00B050"/>
        <rFont val="Arial"/>
        <family val="2"/>
      </rPr>
      <t xml:space="preserve"> رقمية ص١+ </t>
    </r>
    <r>
      <rPr>
        <b/>
        <sz val="14"/>
        <color rgb="FF0070C0"/>
        <rFont val="Arial"/>
        <family val="2"/>
      </rPr>
      <t>(٤)</t>
    </r>
    <r>
      <rPr>
        <b/>
        <sz val="14"/>
        <color rgb="FF00B050"/>
        <rFont val="Arial"/>
        <family val="2"/>
      </rPr>
      <t xml:space="preserve"> رقمية ص٢+ </t>
    </r>
    <r>
      <rPr>
        <b/>
        <sz val="14"/>
        <color rgb="FF0070C0"/>
        <rFont val="Arial"/>
        <family val="2"/>
      </rPr>
      <t>(٤)</t>
    </r>
    <r>
      <rPr>
        <b/>
        <sz val="14"/>
        <color rgb="FF00B050"/>
        <rFont val="Arial"/>
        <family val="2"/>
      </rPr>
      <t xml:space="preserve"> رقمية ص٣ + </t>
    </r>
    <r>
      <rPr>
        <b/>
        <sz val="14"/>
        <color rgb="FF0070C0"/>
        <rFont val="Arial"/>
        <family val="2"/>
      </rPr>
      <t>(٦)</t>
    </r>
    <r>
      <rPr>
        <b/>
        <sz val="14"/>
        <color rgb="FF00B050"/>
        <rFont val="Arial"/>
        <family val="2"/>
      </rPr>
      <t xml:space="preserve"> رقمية ص٤ + </t>
    </r>
    <r>
      <rPr>
        <b/>
        <sz val="14"/>
        <color rgb="FF0070C0"/>
        <rFont val="Arial"/>
        <family val="2"/>
      </rPr>
      <t>(٤)</t>
    </r>
    <r>
      <rPr>
        <b/>
        <sz val="14"/>
        <color rgb="FF00B050"/>
        <rFont val="Arial"/>
        <family val="2"/>
      </rPr>
      <t xml:space="preserve"> رقمية ص٥ + </t>
    </r>
    <r>
      <rPr>
        <b/>
        <sz val="14"/>
        <color rgb="FF0070C0"/>
        <rFont val="Arial"/>
        <family val="2"/>
      </rPr>
      <t xml:space="preserve">(٤) </t>
    </r>
    <r>
      <rPr>
        <b/>
        <sz val="14"/>
        <color rgb="FF00B050"/>
        <rFont val="Arial"/>
        <family val="2"/>
      </rPr>
      <t xml:space="preserve">رقمية ص٦ </t>
    </r>
  </si>
  <si>
    <t xml:space="preserve">اضافة عدد (٣٨) حصة اثرائي لغة انجليزية + (١٢) اثرائي رقمية صفوف أولية فيصبح مجموع الحصص الاثرائية (٥٠) حصة 
تخفيض (١) حصة فنية الصف الاول باجمالي (٢) حصة
تخفيض (١) حصة بدنية الصف الاول باجمالي (٢) حصة
تخفيض (١) حصة اسلاميات الصف الاول باجمالي (٢) حصة
تخفيض (١) حصة اسلاميات صفوف عليا باجمالي (٧) حصص
تخفيض حصة رقمية صف 1
استبدال  (٣٢) حصة نشاط  مع الحصص الاثرائية 
(٥٠) - (٣٢) = (١٨) حصة </t>
  </si>
  <si>
    <t>اسنادات متوسط دار القلم الفصل الاول 1447</t>
  </si>
  <si>
    <t>فواز المطيري</t>
  </si>
  <si>
    <t xml:space="preserve"> (5) اسلاميات ص1 فصل 1/1 +(10) اسلاميات ص2 فصلين 2/1 - 2/2 + (10) اسلاميات ص 3 فصل 3/1 - 3/2 </t>
  </si>
  <si>
    <t>احمد صوفي</t>
  </si>
  <si>
    <t xml:space="preserve"> (15) لغتي ص1 متوسط   +  (٥) اسلاميات ص2  فصل 2/3  +(6) تفكير ناقد متوسط ص٣</t>
  </si>
  <si>
    <t>محمد سمير</t>
  </si>
  <si>
    <t xml:space="preserve">(15) لغتي ص2 م + (12 ) لغتي ص 3 </t>
  </si>
  <si>
    <t>ماهر الحربي</t>
  </si>
  <si>
    <t>(18) رياضيات ص١+ (6) رياضيات ص2م فصل 2/3</t>
  </si>
  <si>
    <t>حسن السيد</t>
  </si>
  <si>
    <t>(18) رياضيات ص3م  + (6) رياضيات ص2م فصل 2/2 - 2/3</t>
  </si>
  <si>
    <t xml:space="preserve">سلمان الصادق </t>
  </si>
  <si>
    <t xml:space="preserve">(12) انجليزي ص٢متوسط +(12) انجليزي ص٣ متوسط  </t>
  </si>
  <si>
    <r>
      <t xml:space="preserve"> (١٢) انجليزي ص١ متوسط </t>
    </r>
    <r>
      <rPr>
        <b/>
        <sz val="14"/>
        <color rgb="FFFF0000"/>
        <rFont val="Arial"/>
        <family val="2"/>
      </rPr>
      <t xml:space="preserve">+ مكمل (١٢) حصة بالثانوي </t>
    </r>
  </si>
  <si>
    <t>فارس الجندي</t>
  </si>
  <si>
    <t xml:space="preserve">(12) علوم ص١ +(12) علوم ص٢ </t>
  </si>
  <si>
    <t xml:space="preserve">محمد العشماوي </t>
  </si>
  <si>
    <t>(12) علوم ص٣ +(10) اسلاميات ص1 فصل 1/2 - 1/3 + ( 5 ) اسلاميات  صف 3 فصل 3/3</t>
  </si>
  <si>
    <t>عبدالعزيز الربيعان</t>
  </si>
  <si>
    <r>
      <t xml:space="preserve">(24) اجتماعيات (9) ص١ + (9 ) ص٢ +( 6 ) ص٣ متوسط </t>
    </r>
    <r>
      <rPr>
        <b/>
        <sz val="14"/>
        <color rgb="FFFF0000"/>
        <rFont val="Arial"/>
        <family val="2"/>
      </rPr>
      <t xml:space="preserve"> </t>
    </r>
    <r>
      <rPr>
        <b/>
        <sz val="14"/>
        <color rgb="FF00B050"/>
        <rFont val="Arial"/>
        <family val="2"/>
      </rPr>
      <t xml:space="preserve"> </t>
    </r>
  </si>
  <si>
    <t>محمود صابر</t>
  </si>
  <si>
    <t xml:space="preserve">(18) فنية ص١ ص٢ ص٣ + (9) حياتية ص١ + ص2 + ص3 فصل </t>
  </si>
  <si>
    <r>
      <t xml:space="preserve">( 6) بدنية ص2 متوسط +  (6) بدنية ص٣ متوسط </t>
    </r>
    <r>
      <rPr>
        <b/>
        <sz val="14"/>
        <color rgb="FFFF0000"/>
        <rFont val="Arial"/>
        <family val="2"/>
      </rPr>
      <t>+ مكمل (١٣) حصة بالثانوي</t>
    </r>
  </si>
  <si>
    <r>
      <t xml:space="preserve">(6) رقمية  ص٣ متوسط+ (2) رقمية  ص٢ متوسط فصل 3 </t>
    </r>
    <r>
      <rPr>
        <b/>
        <sz val="14"/>
        <color rgb="FFFF0000"/>
        <rFont val="Arial"/>
        <family val="2"/>
      </rPr>
      <t>+ مكمل (١٨) حصة بالثانوي</t>
    </r>
  </si>
  <si>
    <r>
      <rPr>
        <b/>
        <sz val="14"/>
        <color theme="1"/>
        <rFont val="Arial"/>
        <family val="2"/>
      </rPr>
      <t>محمود جمعه</t>
    </r>
    <r>
      <rPr>
        <b/>
        <sz val="14"/>
        <color rgb="FFFF0000"/>
        <rFont val="Arial"/>
        <family val="2"/>
      </rPr>
      <t xml:space="preserve"> </t>
    </r>
  </si>
  <si>
    <t>(٦) رقمية  ص١متوسط +(4) رقمية  ص٢ متوسط فصل 1  + فصل 2  + ( 6) بدنية ص1 متوسط + (3) نشاط ص1 + (3) نشاط ص 3 + (3) نشاط ص2</t>
  </si>
  <si>
    <t>اسنادات ثانوية دار القلم الفصل الدراسي الأول 1447</t>
  </si>
  <si>
    <t>احمد نصر</t>
  </si>
  <si>
    <t>20 كفايات 1ث من 6:2 +4 كفايات 2ث 7</t>
  </si>
  <si>
    <t xml:space="preserve">هشام رسمي </t>
  </si>
  <si>
    <t xml:space="preserve">24 حصة كفايات  2ث 6فصول من 6:1+ 3 حصص 2-ث نون </t>
  </si>
  <si>
    <t xml:space="preserve">حسن الخطيب </t>
  </si>
  <si>
    <t>14 مهارا ت بحث 3 ث كامل + 6 كفايات 1ث نون  +4 كفايات 1ث 1</t>
  </si>
  <si>
    <t xml:space="preserve">عبد العزيز الربيعان </t>
  </si>
  <si>
    <t>21 تاريخ 2ث كامل+2 تاريخ 2ث نون +3 تفسير 1ث2 نون</t>
  </si>
  <si>
    <t>خالد المطيري</t>
  </si>
  <si>
    <t xml:space="preserve">اسلاميات </t>
  </si>
  <si>
    <t xml:space="preserve">24 تفسير وقران 1ث كامل + 3 تفسير 1ث1 نون </t>
  </si>
  <si>
    <t xml:space="preserve">حسام السيد </t>
  </si>
  <si>
    <t xml:space="preserve">20 صف2ث 4 فصول 4:1+4 نون صف2ث + 4 صف3ث1 </t>
  </si>
  <si>
    <t xml:space="preserve">محمد سليم </t>
  </si>
  <si>
    <t>20صف 3ث من 6:2 +8 حصص 1 ث نون 1-2</t>
  </si>
  <si>
    <t xml:space="preserve">وليد الصدة </t>
  </si>
  <si>
    <t xml:space="preserve">20 1ث  4 فصول من4:1+ 4 حصص 3ث7 </t>
  </si>
  <si>
    <t>وسيم عبد ربه</t>
  </si>
  <si>
    <t>10 صف 1ث  6:5+ 15 صف 2ث من 7:5</t>
  </si>
  <si>
    <t xml:space="preserve">أحمد طاهر بهيدي </t>
  </si>
  <si>
    <t>18 صف 1ث كامل + 6 حصص 1 ث نون 2:1 + 3 علم أرض 3ث7</t>
  </si>
  <si>
    <t xml:space="preserve">أحمد محمد مصباح </t>
  </si>
  <si>
    <t>25 حصة صف2 ث من 5:1</t>
  </si>
  <si>
    <t>محمد متولي</t>
  </si>
  <si>
    <t>21 صف 3 ث كامل + 5 حصص 2 ث نون</t>
  </si>
  <si>
    <t>حسن جوده</t>
  </si>
  <si>
    <t>10كيمياء  صف 2ث 7:6+15فيزياء  صف 3ث 3:1</t>
  </si>
  <si>
    <t>فريج السعيد</t>
  </si>
  <si>
    <t xml:space="preserve">فيزياء </t>
  </si>
  <si>
    <t xml:space="preserve"> 20صف 3ث 7:4 + 4 حصص 2 ث7</t>
  </si>
  <si>
    <t xml:space="preserve">سلمان محمد </t>
  </si>
  <si>
    <t xml:space="preserve">24 حصة صف2 ث 6 فصول 6:1 + 4 حصص 2ث نون </t>
  </si>
  <si>
    <t xml:space="preserve">محمد عبد المنعم </t>
  </si>
  <si>
    <t xml:space="preserve">أحياء </t>
  </si>
  <si>
    <t>18 صف 1ث كامل + 3 علم ارض ص ثالث6 +6 حصص 1 ث نون 1و2</t>
  </si>
  <si>
    <t>حسن ابوغنيمة</t>
  </si>
  <si>
    <t>15 علم أرض 3ث من 5:3 + 12 أحياءص2ث 7:5</t>
  </si>
  <si>
    <t xml:space="preserve">مصطفى محمد </t>
  </si>
  <si>
    <t>24حصة اث كامل + 2 حصة 1ث نون 1</t>
  </si>
  <si>
    <t xml:space="preserve">عبد الرحمن شطا </t>
  </si>
  <si>
    <t>20حصة 2 ث من5:1+ 4 حصص 3ث1+ 1 حصة نون 2ث</t>
  </si>
  <si>
    <t>24 حصة صف 3ث 7:2</t>
  </si>
  <si>
    <t>تقنية -حاسب</t>
  </si>
  <si>
    <t>20 حصة مجال صف 3 ث 5:1+ 4 حصص 1ث نون تقنية 1و2</t>
  </si>
  <si>
    <t xml:space="preserve">محمد مدحت </t>
  </si>
  <si>
    <t xml:space="preserve">18 حصة 1ث كامل  + 6تفكير ناقد 1ث </t>
  </si>
  <si>
    <t xml:space="preserve">محمد صلاح </t>
  </si>
  <si>
    <t>12حصة 1ث كامل+12بدنية 3ث من  4:1 + 4 صف اول نون 1و2</t>
  </si>
  <si>
    <t xml:space="preserve">علم نفس </t>
  </si>
  <si>
    <t xml:space="preserve">تخفيض حصة من اللغة الإنجليزية أول ثانوي
تخفيض حصة من اللغة الإنجليزيةوثان 
تخفيض حصة تفكير ناقد أول ثانوي 
تخفيض حصة نشاط صف ثان ثانوي
تخفيض حصة نشاط صف ثالث ثانوي 
تخفيض حصة مجال صف ثالث ثانوي 
عليه خروج جميع طلاب المدرسة بعد الحصة السادسة يوميا 11:50( بواقع تخفيض حصتين من كل فصل ) </t>
  </si>
  <si>
    <r>
      <t xml:space="preserve">كيمياء </t>
    </r>
    <r>
      <rPr>
        <b/>
        <sz val="14"/>
        <color rgb="FF000000"/>
        <rFont val="AdvertisingExtraBold"/>
      </rPr>
      <t>- فيزياء</t>
    </r>
  </si>
  <si>
    <r>
      <t>20 حصة 2ث 4:1+4أحياء  2ث نون</t>
    </r>
    <r>
      <rPr>
        <b/>
        <sz val="14"/>
        <color rgb="FFFF0000"/>
        <rFont val="AdvertisingExtraBold"/>
        <charset val="178"/>
      </rPr>
      <t>+ مسند له كلاسيرا</t>
    </r>
  </si>
  <si>
    <r>
      <t xml:space="preserve">8 حصص 2 ث 6 و7 + 4 تفكير ناقد صف 1ث نون 1و2 </t>
    </r>
    <r>
      <rPr>
        <b/>
        <sz val="14"/>
        <color rgb="FFFF0000"/>
        <rFont val="AdvertisingExtraBold"/>
        <charset val="178"/>
      </rPr>
      <t>+ مكمل (١٢) حصة بالمتوسط</t>
    </r>
  </si>
  <si>
    <r>
      <t xml:space="preserve">9بدنية 3ث 7:5 + 8 مجال اختياري 3ث6 (م بالمتوسط بعد الفسحة) </t>
    </r>
    <r>
      <rPr>
        <b/>
        <sz val="14"/>
        <color rgb="FFFF0000"/>
        <rFont val="AdvertisingExtraBold"/>
        <charset val="178"/>
      </rPr>
      <t>+ مكمل (١٢) حصة بالمتوسط</t>
    </r>
  </si>
  <si>
    <r>
      <t xml:space="preserve"> 6 تفكير ناقد 1ث+ 7 نشاط 2ث </t>
    </r>
    <r>
      <rPr>
        <b/>
        <sz val="14"/>
        <color rgb="FFFF0000"/>
        <rFont val="AdvertisingExtraBold"/>
        <charset val="178"/>
      </rPr>
      <t>+ مكمل مراقب دور</t>
    </r>
  </si>
  <si>
    <t>اسنادات الابتدائي</t>
  </si>
  <si>
    <t xml:space="preserve">عدد حصص المعلم بالمرحلة </t>
  </si>
  <si>
    <t xml:space="preserve">نورا مجدي </t>
  </si>
  <si>
    <t>(3) انجليزي وزاري ص1 ( 2) انجليزي اثرائي ص1 (1) ماث ص1 ( 1) ساينس ص1 ( 3) انجليزي وزاري ص2 (2) انجليزي اثرائي ص2 (6) انجليزي وزاري ص3 (4)انجليزي اثرائي ص3 (2) نشاط ص5</t>
  </si>
  <si>
    <t xml:space="preserve">سارة المخلفي </t>
  </si>
  <si>
    <t>إسلامية</t>
  </si>
  <si>
    <t xml:space="preserve">نوضا المطيري </t>
  </si>
  <si>
    <t>(4)رياضيات ص1(3) علوم ص1 (3) علوم ص2 (6) رياضيات ص4 (2)اجتماعايت ص4 (1) اسرية ص4(1) نشاط ص3 فصل(4) رقمية ص3</t>
  </si>
  <si>
    <t>أشواق العنزي</t>
  </si>
  <si>
    <t>(8)لغتي ص1 (7)لغتي ص2 (5) إسلامية ص1(5) إسلامية ص2</t>
  </si>
  <si>
    <t>ناهد بعزقي</t>
  </si>
  <si>
    <t>(12) لغتي ص3 (5)لغتي ص4 (5) لغتي ص5 (1)اسرية ص5 (1) نشاط ص 3فصل</t>
  </si>
  <si>
    <t>نوف الزلفي</t>
  </si>
  <si>
    <t>منى الخلف</t>
  </si>
  <si>
    <r>
      <t xml:space="preserve"> عهود الرويلي </t>
    </r>
    <r>
      <rPr>
        <b/>
        <sz val="14"/>
        <color rgb="FFFF0000"/>
        <rFont val="Geeza Pro Regular"/>
        <charset val="178"/>
      </rPr>
      <t/>
    </r>
  </si>
  <si>
    <t xml:space="preserve">هدى البكري </t>
  </si>
  <si>
    <t>تم زيادة ( 14) حصة لتفعيل المواد الاثرائية ورفع مستوى التحصيل فأصبح إجمالي الحصص في الأسبوع 35</t>
  </si>
  <si>
    <t xml:space="preserve">حنان الغربي </t>
  </si>
  <si>
    <t>بدور  البقمي</t>
  </si>
  <si>
    <t>دين</t>
  </si>
  <si>
    <t>حنان العنزي</t>
  </si>
  <si>
    <t>الجوهرة المخلفي</t>
  </si>
  <si>
    <t>نهال الشبرمي</t>
  </si>
  <si>
    <t xml:space="preserve">نوف العتيبي </t>
  </si>
  <si>
    <t>ريم الحربي</t>
  </si>
  <si>
    <t>سلطانة البقمي</t>
  </si>
  <si>
    <t xml:space="preserve">(8) رياضيات ص3 (10) رياضيات ص1 ( 4) بدنية ص1 (3) نشاط ص3 </t>
  </si>
  <si>
    <t>نور العيدة</t>
  </si>
  <si>
    <t>سلطانة العتيبي</t>
  </si>
  <si>
    <t>هدى المطيري</t>
  </si>
  <si>
    <t>أماني فهمي</t>
  </si>
  <si>
    <t>تم زيادة ( 6) حصص لتفعيل البرامج الاثرائية ورفع مستوى التحصيل فأصبحت إجمالي الحصص 198</t>
  </si>
  <si>
    <r>
      <t xml:space="preserve">(10)اسلاميةص3(5)اسلاميةص4(5)إسلامية ص5(2)اجتماعيات ص5(2)نشاط ص4 </t>
    </r>
    <r>
      <rPr>
        <b/>
        <sz val="14"/>
        <color rgb="FFFF0000"/>
        <rFont val="Arial"/>
        <family val="2"/>
        <scheme val="minor"/>
      </rPr>
      <t>+ منسقة تطوع ابتدائي ومتوسط</t>
    </r>
  </si>
  <si>
    <r>
      <t xml:space="preserve">نوير الشمري </t>
    </r>
    <r>
      <rPr>
        <b/>
        <sz val="14"/>
        <color rgb="FFFF0000"/>
        <rFont val="Arial"/>
        <family val="2"/>
        <scheme val="minor"/>
      </rPr>
      <t>( مكرر مكمل من الثانوي)</t>
    </r>
  </si>
  <si>
    <r>
      <t xml:space="preserve">(2) رقمية ص2 (2)رقمية ص4(2)رقمية ص5(2) رقمية ص6 </t>
    </r>
    <r>
      <rPr>
        <b/>
        <sz val="14"/>
        <color rgb="FFFF0000"/>
        <rFont val="Arial"/>
        <family val="2"/>
        <scheme val="minor"/>
      </rPr>
      <t>+ مسند (٦) حصص بالمتوسط + (10) حصة بالثانوي</t>
    </r>
  </si>
  <si>
    <r>
      <t xml:space="preserve">نهال الشبرمي </t>
    </r>
    <r>
      <rPr>
        <b/>
        <sz val="14"/>
        <color rgb="FFFF0000"/>
        <rFont val="Arial"/>
        <family val="2"/>
        <scheme val="minor"/>
      </rPr>
      <t>( مكرر مكمل من المتوسط)</t>
    </r>
  </si>
  <si>
    <r>
      <t xml:space="preserve">(2) بدنية ص6 (5) إسلامية ص6 </t>
    </r>
    <r>
      <rPr>
        <b/>
        <sz val="14"/>
        <color rgb="FFFF0000"/>
        <rFont val="Arial"/>
        <family val="2"/>
        <scheme val="minor"/>
      </rPr>
      <t>+ مسند (13) حصة بالمتوسط + (4) رقمية kg + منسقة الصيانة والمشتريات</t>
    </r>
  </si>
  <si>
    <r>
      <t xml:space="preserve">الجوهرة المخلفي  </t>
    </r>
    <r>
      <rPr>
        <b/>
        <sz val="14"/>
        <color rgb="FFFF0000"/>
        <rFont val="Arial"/>
        <family val="2"/>
        <scheme val="minor"/>
      </rPr>
      <t>( مكرر مكمل من المتوسط)</t>
    </r>
  </si>
  <si>
    <r>
      <t>(5) لغتي ص6 (2) اجتماعيات ص6</t>
    </r>
    <r>
      <rPr>
        <b/>
        <sz val="14"/>
        <color rgb="FFFF0000"/>
        <rFont val="Arial"/>
        <family val="2"/>
        <scheme val="minor"/>
      </rPr>
      <t xml:space="preserve"> + (17) حصة بالمتوسط + منسقة اختبارات مركزية</t>
    </r>
  </si>
  <si>
    <r>
      <t xml:space="preserve">حنان العنزي </t>
    </r>
    <r>
      <rPr>
        <b/>
        <sz val="14"/>
        <color rgb="FFFF0000"/>
        <rFont val="Arial"/>
        <family val="2"/>
        <scheme val="minor"/>
      </rPr>
      <t>(مكرر مكمل من متوسط )</t>
    </r>
  </si>
  <si>
    <r>
      <t xml:space="preserve">(3) بدنية ص1 </t>
    </r>
    <r>
      <rPr>
        <b/>
        <sz val="14"/>
        <color rgb="FFFF0000"/>
        <rFont val="Arial"/>
        <family val="2"/>
        <scheme val="minor"/>
      </rPr>
      <t>+ مسند لها ( 11 ) متوسط + (11) ثانوي + منسقة اختبارات steep</t>
    </r>
  </si>
  <si>
    <r>
      <t xml:space="preserve">(6)رياضيات ص2 (12) رياضيات ص3 (6) بدنية ص3 </t>
    </r>
    <r>
      <rPr>
        <b/>
        <sz val="14"/>
        <color rgb="FFFF0000"/>
        <rFont val="Arial"/>
        <family val="2"/>
        <scheme val="minor"/>
      </rPr>
      <t>+ معلمة موهبة</t>
    </r>
  </si>
  <si>
    <r>
      <t>نور العيدة (</t>
    </r>
    <r>
      <rPr>
        <b/>
        <sz val="14"/>
        <color rgb="FFFF0000"/>
        <rFont val="Arial"/>
        <family val="2"/>
        <scheme val="minor"/>
      </rPr>
      <t xml:space="preserve"> مكرر مكمل من الثانوي)</t>
    </r>
  </si>
  <si>
    <r>
      <t xml:space="preserve"> ( 6 )  رياضيات ص6 </t>
    </r>
    <r>
      <rPr>
        <b/>
        <sz val="14"/>
        <color rgb="FFFF0000"/>
        <rFont val="Arial"/>
        <family val="2"/>
        <scheme val="minor"/>
      </rPr>
      <t>+ مسند ( 18) ثانوي + منسقة قدرات وتحصيلي</t>
    </r>
  </si>
  <si>
    <r>
      <t xml:space="preserve">هدى المطيري </t>
    </r>
    <r>
      <rPr>
        <b/>
        <sz val="14"/>
        <color rgb="FFFF0000"/>
        <rFont val="Arial"/>
        <family val="2"/>
        <scheme val="minor"/>
      </rPr>
      <t>( مكرر مكمل من الثانوي)</t>
    </r>
  </si>
  <si>
    <r>
      <t xml:space="preserve">(2) بدنية ص5 </t>
    </r>
    <r>
      <rPr>
        <b/>
        <sz val="14"/>
        <color rgb="FFFF0000"/>
        <rFont val="Arial"/>
        <family val="2"/>
        <scheme val="minor"/>
      </rPr>
      <t>+ مسند ( 23) ثانوي</t>
    </r>
  </si>
  <si>
    <r>
      <t xml:space="preserve">سلطانة العتيبي </t>
    </r>
    <r>
      <rPr>
        <b/>
        <sz val="14"/>
        <color rgb="FFFF0000"/>
        <rFont val="Arial"/>
        <family val="2"/>
        <scheme val="minor"/>
      </rPr>
      <t>( مكرر مكمل من الثانوي)</t>
    </r>
  </si>
  <si>
    <r>
      <t xml:space="preserve">(1) اسرية ص6 </t>
    </r>
    <r>
      <rPr>
        <b/>
        <sz val="14"/>
        <color rgb="FFFF0000"/>
        <rFont val="Arial"/>
        <family val="2"/>
        <scheme val="minor"/>
      </rPr>
      <t>+ ( 18 ) ثانوي + ( 5) متوسط</t>
    </r>
  </si>
  <si>
    <r>
      <t xml:space="preserve">نوف العتيبي </t>
    </r>
    <r>
      <rPr>
        <b/>
        <sz val="14"/>
        <color rgb="FFFF0000"/>
        <rFont val="Arial"/>
        <family val="2"/>
        <scheme val="minor"/>
      </rPr>
      <t>( مكرر مكمل من الثانوي )</t>
    </r>
  </si>
  <si>
    <r>
      <t xml:space="preserve">(2) رقمية ص1 </t>
    </r>
    <r>
      <rPr>
        <b/>
        <sz val="14"/>
        <color rgb="FFFF0000"/>
        <rFont val="Arial"/>
        <family val="2"/>
        <scheme val="minor"/>
      </rPr>
      <t>+ (22) مسند ثانوي</t>
    </r>
  </si>
  <si>
    <r>
      <t xml:space="preserve">بدور  البقمي  </t>
    </r>
    <r>
      <rPr>
        <b/>
        <sz val="14"/>
        <color rgb="FFFF0000"/>
        <rFont val="Arial"/>
        <family val="2"/>
        <scheme val="minor"/>
      </rPr>
      <t>( مكرر مكمل من المتوسط)</t>
    </r>
  </si>
  <si>
    <r>
      <t xml:space="preserve">(6)رياضيات ص5 </t>
    </r>
    <r>
      <rPr>
        <b/>
        <sz val="14"/>
        <color rgb="FFFF0000"/>
        <rFont val="Arial"/>
        <family val="2"/>
        <scheme val="minor"/>
      </rPr>
      <t>+ مسند ( 18)  متوسط</t>
    </r>
  </si>
  <si>
    <r>
      <t xml:space="preserve"> (8) علوم ص3 (4) علوم ص4 (4) علوم ص5  (4) علوم ص6 </t>
    </r>
    <r>
      <rPr>
        <b/>
        <sz val="14"/>
        <color rgb="FFFF0000"/>
        <rFont val="Arial"/>
        <family val="2"/>
        <scheme val="minor"/>
      </rPr>
      <t>+ مسند (4) بالمتوسط</t>
    </r>
  </si>
  <si>
    <r>
      <t xml:space="preserve">(3) انجليزي وزاري ص4 ( 2) انجليزي اثرائي ص4  ( 3) انجليزي وزاري ص5 (2) انجليزي اثرائي ص5 (3) انجليزي وزاري ص6 (2)انجليزي اثرائي ص6 (3) بدنية ص2 (2) نشاط ص6 + </t>
    </r>
    <r>
      <rPr>
        <b/>
        <sz val="14"/>
        <color rgb="FFFF0000"/>
        <rFont val="Arial"/>
        <family val="2"/>
        <scheme val="minor"/>
      </rPr>
      <t>(4) kg</t>
    </r>
  </si>
  <si>
    <r>
      <t>(2)فنية ص1(2) فنية ص2(4) فنية ص3(1) فنية ص4(1)فنية ص5(1) قنية ص6  (2) بدنية ص4 (1)نشاط ص2 (1) اسرية ص1(1) اسرية ص2(2)اسرية ص3</t>
    </r>
    <r>
      <rPr>
        <b/>
        <sz val="14"/>
        <color rgb="FFFF0000"/>
        <rFont val="Arial"/>
        <family val="2"/>
        <scheme val="minor"/>
      </rPr>
      <t>+ مسند (6) حصص بالمتوسط + موجهة صحية ابتدائي</t>
    </r>
  </si>
  <si>
    <r>
      <t xml:space="preserve">هدى البكري </t>
    </r>
    <r>
      <rPr>
        <b/>
        <sz val="14"/>
        <color rgb="FFFF0000"/>
        <rFont val="Arial"/>
        <family val="2"/>
        <scheme val="minor"/>
      </rPr>
      <t>( مكرر مكمل من ابتدائي)</t>
    </r>
  </si>
  <si>
    <r>
      <t xml:space="preserve">(2) فنية ص1 (2) فنية ص2 (2) فنية ص </t>
    </r>
    <r>
      <rPr>
        <b/>
        <sz val="14"/>
        <color rgb="FFFF0000"/>
        <rFont val="Arial"/>
        <family val="2"/>
        <scheme val="minor"/>
      </rPr>
      <t>+ مسند (18) حصة بالابتدائي + موجهة صحية ابتدائي</t>
    </r>
  </si>
  <si>
    <r>
      <t xml:space="preserve">(3) اجتماعيات ص1 (3) اجتماعيات ص2(2) اجتماعيات ص3 (2) بدنية 3م (1) اسرية 3م </t>
    </r>
    <r>
      <rPr>
        <b/>
        <sz val="14"/>
        <color rgb="FFFF0000"/>
        <rFont val="Arial"/>
        <family val="2"/>
        <scheme val="minor"/>
      </rPr>
      <t>+ مسند (13) حصص بالثانوي + مسؤولة المقصف</t>
    </r>
  </si>
  <si>
    <r>
      <t xml:space="preserve">نوير الشمري    </t>
    </r>
    <r>
      <rPr>
        <b/>
        <sz val="14"/>
        <color rgb="FFFF0000"/>
        <rFont val="Arial"/>
        <family val="2"/>
        <scheme val="minor"/>
      </rPr>
      <t>( مكرر مكمل من الثانوي)</t>
    </r>
  </si>
  <si>
    <r>
      <t xml:space="preserve">(2) رقمية ص1 (2) رقمية ص3 (2) رقمية ص3 </t>
    </r>
    <r>
      <rPr>
        <b/>
        <sz val="14"/>
        <color rgb="FFFF0000"/>
        <rFont val="Arial"/>
        <family val="2"/>
        <scheme val="minor"/>
      </rPr>
      <t>+ مسند (١0) حصص بالثانوي + (8) حصص بالابتدائي</t>
    </r>
  </si>
  <si>
    <r>
      <t xml:space="preserve">منى الخلف </t>
    </r>
    <r>
      <rPr>
        <b/>
        <sz val="14"/>
        <color rgb="FFFF0000"/>
        <rFont val="Arial"/>
        <family val="2"/>
        <scheme val="minor"/>
      </rPr>
      <t>( مكرر مكمل من الابتدائي )</t>
    </r>
  </si>
  <si>
    <r>
      <t xml:space="preserve">(4) علوم ص1 </t>
    </r>
    <r>
      <rPr>
        <b/>
        <sz val="14"/>
        <color rgb="FFFF0000"/>
        <rFont val="Arial"/>
        <family val="2"/>
        <scheme val="minor"/>
      </rPr>
      <t>+ مسند (20 ) ابتدائي</t>
    </r>
  </si>
  <si>
    <r>
      <t xml:space="preserve">(6) رياضيات ص1 (6) رياضيات ص2 (6) رياضيات ص3 </t>
    </r>
    <r>
      <rPr>
        <b/>
        <sz val="14"/>
        <color rgb="FFFF0000"/>
        <rFont val="Arial"/>
        <family val="2"/>
        <scheme val="minor"/>
      </rPr>
      <t>+ مسند لها (6) ابتدائي</t>
    </r>
  </si>
  <si>
    <r>
      <t xml:space="preserve">ريم الحربي </t>
    </r>
    <r>
      <rPr>
        <b/>
        <sz val="14"/>
        <color rgb="FFFF0000"/>
        <rFont val="Arial"/>
        <family val="2"/>
        <scheme val="minor"/>
      </rPr>
      <t>( مكرر مكمل من الثانوي)</t>
    </r>
  </si>
  <si>
    <r>
      <t xml:space="preserve">( 5 ) إسلامية ص3 </t>
    </r>
    <r>
      <rPr>
        <b/>
        <sz val="14"/>
        <color rgb="FFFF0000"/>
        <rFont val="Arial"/>
        <family val="2"/>
        <scheme val="minor"/>
      </rPr>
      <t>+ مسند ثانوي 19 ثانوي</t>
    </r>
  </si>
  <si>
    <r>
      <t>اماني فهمي</t>
    </r>
    <r>
      <rPr>
        <b/>
        <sz val="14"/>
        <color rgb="FFFF0000"/>
        <rFont val="Arial"/>
        <family val="2"/>
        <scheme val="minor"/>
      </rPr>
      <t xml:space="preserve"> ( مكرر مكمل من الثانوي)</t>
    </r>
  </si>
  <si>
    <r>
      <t>(4) علوم ص2</t>
    </r>
    <r>
      <rPr>
        <b/>
        <sz val="14"/>
        <color rgb="FFFF0000"/>
        <rFont val="Arial"/>
        <family val="2"/>
        <scheme val="minor"/>
      </rPr>
      <t xml:space="preserve"> + مسند لها (20) ثانوي</t>
    </r>
  </si>
  <si>
    <r>
      <t xml:space="preserve">(4) علوم ص3 (1) نشاط ص3 </t>
    </r>
    <r>
      <rPr>
        <b/>
        <sz val="14"/>
        <color rgb="FFFF0000"/>
        <rFont val="Arial"/>
        <family val="2"/>
        <scheme val="minor"/>
      </rPr>
      <t>+ مسند لها (18 ) ثانوي + ( 1) ابتدائي + منسقة نافس</t>
    </r>
  </si>
  <si>
    <r>
      <t>امل العنزي</t>
    </r>
    <r>
      <rPr>
        <b/>
        <sz val="14"/>
        <color rgb="FFFF0000"/>
        <rFont val="Arial"/>
        <family val="2"/>
        <scheme val="minor"/>
      </rPr>
      <t xml:space="preserve"> ( مكرر مكمل من الثانوي)</t>
    </r>
  </si>
  <si>
    <r>
      <t xml:space="preserve">(4) انجليزي ص3 (1) أسرية ص3 </t>
    </r>
    <r>
      <rPr>
        <b/>
        <sz val="14"/>
        <color rgb="FFFF0000"/>
        <rFont val="Arial"/>
        <family val="2"/>
        <scheme val="minor"/>
      </rPr>
      <t>+ مسند (19) حصة بالثانوي + منسقة اختبارات steep</t>
    </r>
  </si>
  <si>
    <r>
      <t>(4) انجليزي ص1(4) انجليزي ص2(1)اسرية ص2 (2) بدنية ص2</t>
    </r>
    <r>
      <rPr>
        <b/>
        <sz val="14"/>
        <color rgb="FFFF0000"/>
        <rFont val="Arial"/>
        <family val="2"/>
        <scheme val="minor"/>
      </rPr>
      <t>+ مسند لها (11) حصة ثانوي+(3) ابتدائي</t>
    </r>
  </si>
  <si>
    <r>
      <t xml:space="preserve">(5) لغتي ص1 (5) لغتي ص2(4) لغتي ص3 (2) بدنية ص1 (1) نشاط ص1 </t>
    </r>
    <r>
      <rPr>
        <b/>
        <sz val="14"/>
        <color rgb="FFFF0000"/>
        <rFont val="Arial"/>
        <family val="2"/>
        <scheme val="minor"/>
      </rPr>
      <t>+ مسند (7) حصص بالابتدائي + منسقة اختبارات مركزية</t>
    </r>
  </si>
  <si>
    <r>
      <t xml:space="preserve">(5) إسلامية ص1 (5) إسلامية ص2  (٢)  تفكير ناقد ص3  (1) نشاط ص2 </t>
    </r>
    <r>
      <rPr>
        <b/>
        <sz val="14"/>
        <color rgb="FFFF0000"/>
        <rFont val="Arial"/>
        <family val="2"/>
        <scheme val="minor"/>
      </rPr>
      <t>+ مسند (7) حصص بالابتدائي + (4) kg + منسقة الصيانة والمشتريات</t>
    </r>
  </si>
  <si>
    <r>
      <t xml:space="preserve">حنان الغربي </t>
    </r>
    <r>
      <rPr>
        <b/>
        <sz val="14"/>
        <color rgb="FFFF0000"/>
        <rFont val="Arial"/>
        <family val="2"/>
        <scheme val="minor"/>
      </rPr>
      <t>( مكرر مكمل  متوسط )</t>
    </r>
  </si>
  <si>
    <r>
      <t xml:space="preserve">(6) تاريخ ص2 (6) بدنية ص3 (1) نشاط ص3 فصل </t>
    </r>
    <r>
      <rPr>
        <b/>
        <sz val="14"/>
        <color rgb="FFFF0000"/>
        <rFont val="Arial"/>
        <family val="2"/>
        <scheme val="minor"/>
      </rPr>
      <t>+ مسند (11) حصص بالمتوسط + مسؤولة المقصف</t>
    </r>
  </si>
  <si>
    <r>
      <t xml:space="preserve">(8) كفايات ص1(8) كفايات ص2 (4) بحث ومعلومات ص3 (2) نشاط ص2 </t>
    </r>
    <r>
      <rPr>
        <b/>
        <sz val="14"/>
        <color rgb="FFFF0000"/>
        <rFont val="Arial"/>
        <family val="2"/>
        <scheme val="minor"/>
      </rPr>
      <t xml:space="preserve"> + مسند (2) ابتدائي + أمينة مصادر</t>
    </r>
  </si>
  <si>
    <r>
      <t xml:space="preserve">(6) تفكير ناقد ص1 (8) قرآن وتفسيره صف1 (5) مجال اختياري مهارات إدارية </t>
    </r>
    <r>
      <rPr>
        <b/>
        <sz val="14"/>
        <color rgb="FFFF0000"/>
        <rFont val="Arial"/>
        <family val="2"/>
        <scheme val="minor"/>
      </rPr>
      <t>+ مسند (5) متوسط</t>
    </r>
  </si>
  <si>
    <r>
      <t xml:space="preserve">(10) رياضيات ص2 (3) نشاط ص2 (5) مجال اختياري تنمية مستدامة ص3 </t>
    </r>
    <r>
      <rPr>
        <b/>
        <sz val="14"/>
        <color rgb="FFFF0000"/>
        <rFont val="Arial"/>
        <family val="2"/>
        <scheme val="minor"/>
      </rPr>
      <t>+ مسند (6) ابتدائي+ منسقة قدرات وتحصيلي</t>
    </r>
  </si>
  <si>
    <r>
      <t>(8) فيزياء ص2 (10) فيزياء ص3</t>
    </r>
    <r>
      <rPr>
        <b/>
        <sz val="14"/>
        <color rgb="FFFF0000"/>
        <rFont val="Arial"/>
        <family val="2"/>
        <scheme val="minor"/>
      </rPr>
      <t xml:space="preserve"> + مسند (5) متوسط + (1) ابتدائي  + منسقة نافس</t>
    </r>
  </si>
  <si>
    <r>
      <t xml:space="preserve">(6) كيمياء ص1 (10) كيمياء ص2 (6) كيمياء ص3 (1) نشاط ص1 فصل </t>
    </r>
    <r>
      <rPr>
        <b/>
        <sz val="14"/>
        <color rgb="FFFF0000"/>
        <rFont val="Arial"/>
        <family val="2"/>
        <scheme val="minor"/>
      </rPr>
      <t>+ (2) مسند ابتدائي</t>
    </r>
  </si>
  <si>
    <r>
      <t xml:space="preserve">(6) أحياء ص1 (8) أحياء ص2 (9) علم الأرض ص3 </t>
    </r>
    <r>
      <rPr>
        <b/>
        <sz val="14"/>
        <color rgb="FFFF0000"/>
        <rFont val="Arial"/>
        <family val="2"/>
        <scheme val="minor"/>
      </rPr>
      <t>+ مسند (4) متوسط</t>
    </r>
  </si>
  <si>
    <r>
      <rPr>
        <b/>
        <sz val="14"/>
        <color rgb="FF000000"/>
        <rFont val="Arial"/>
        <family val="2"/>
        <scheme val="minor"/>
      </rPr>
      <t xml:space="preserve">حنان العنزي </t>
    </r>
    <r>
      <rPr>
        <b/>
        <sz val="14"/>
        <color rgb="FFFF0000"/>
        <rFont val="Arial"/>
        <family val="2"/>
        <scheme val="minor"/>
      </rPr>
      <t>(مكرر مكمل من متوسط )</t>
    </r>
  </si>
  <si>
    <r>
      <t>(10) انجليزي ص1 (1) نشاط ص1 فصل</t>
    </r>
    <r>
      <rPr>
        <b/>
        <sz val="14"/>
        <color rgb="FFFF0000"/>
        <rFont val="Arial"/>
        <family val="2"/>
        <scheme val="minor"/>
      </rPr>
      <t xml:space="preserve"> + مسند (11) متوسط +( 3) ابتدائي</t>
    </r>
  </si>
  <si>
    <r>
      <rPr>
        <b/>
        <sz val="14"/>
        <color rgb="FF000000"/>
        <rFont val="Arial"/>
        <family val="2"/>
        <scheme val="minor"/>
      </rPr>
      <t>أمل العنزي</t>
    </r>
    <r>
      <rPr>
        <b/>
        <sz val="14"/>
        <color rgb="FFFF0000"/>
        <rFont val="Arial"/>
        <family val="2"/>
        <scheme val="minor"/>
      </rPr>
      <t xml:space="preserve"> </t>
    </r>
  </si>
  <si>
    <r>
      <t xml:space="preserve">(8) انجليزي ص3 (10) انجليزي ص2 (1) نشاط ص2 فصل </t>
    </r>
    <r>
      <rPr>
        <b/>
        <sz val="14"/>
        <color rgb="FFFF0000"/>
        <rFont val="Arial"/>
        <family val="2"/>
        <scheme val="minor"/>
      </rPr>
      <t>+ مسند (5) متوسط + منسقة اختبارات steep</t>
    </r>
  </si>
  <si>
    <r>
      <rPr>
        <b/>
        <sz val="14"/>
        <color rgb="FF000000"/>
        <rFont val="Arial"/>
        <family val="2"/>
        <scheme val="minor"/>
      </rPr>
      <t>نوير الشمري</t>
    </r>
    <r>
      <rPr>
        <b/>
        <sz val="14"/>
        <color rgb="FFFF0000"/>
        <rFont val="Arial"/>
        <family val="2"/>
        <scheme val="minor"/>
      </rPr>
      <t xml:space="preserve"> </t>
    </r>
  </si>
  <si>
    <r>
      <t xml:space="preserve">(٦) تقنية رقمية ص1 (4) رقمية ص3  </t>
    </r>
    <r>
      <rPr>
        <b/>
        <sz val="14"/>
        <color rgb="FFFF0000"/>
        <rFont val="Arial"/>
        <family val="2"/>
        <scheme val="minor"/>
      </rPr>
      <t>+ مسند (٦) حصص بالمتوسط + (8) حصص بالابتدائي</t>
    </r>
  </si>
  <si>
    <t>إحصائية التخصصات</t>
  </si>
  <si>
    <t>مشرف مقيم</t>
  </si>
  <si>
    <t>اجمالي الهيئة الادارية</t>
  </si>
  <si>
    <t>اجمالي الطواقم التعليمية</t>
  </si>
  <si>
    <t>هيئة تعليمية</t>
  </si>
  <si>
    <t>الشواغر</t>
  </si>
  <si>
    <t>أولى ابتدائي</t>
  </si>
  <si>
    <t>1/1</t>
  </si>
  <si>
    <t>ثاني ابتدائي</t>
  </si>
  <si>
    <t>1/2</t>
  </si>
  <si>
    <t>ثالث بنات</t>
  </si>
  <si>
    <t>2/1</t>
  </si>
  <si>
    <t>ثالث بنين</t>
  </si>
  <si>
    <t>2/2</t>
  </si>
  <si>
    <t>رابع ابتدائي</t>
  </si>
  <si>
    <t>3/1</t>
  </si>
  <si>
    <t>خامس ابتدائي</t>
  </si>
  <si>
    <t>3/2</t>
  </si>
  <si>
    <t>سادس ابتدائي</t>
  </si>
  <si>
    <t>4/1</t>
  </si>
  <si>
    <t>4/2</t>
  </si>
  <si>
    <t>5/1</t>
  </si>
  <si>
    <t>5/2</t>
  </si>
  <si>
    <t>6/1</t>
  </si>
  <si>
    <t>6/2</t>
  </si>
  <si>
    <t>أول متوسط</t>
  </si>
  <si>
    <t>ثاني متوسط</t>
  </si>
  <si>
    <t>ثالث متوسط</t>
  </si>
  <si>
    <t>1/3</t>
  </si>
  <si>
    <t>2/3</t>
  </si>
  <si>
    <t>أول ثانوي/1</t>
  </si>
  <si>
    <t>اول ثانوي/2</t>
  </si>
  <si>
    <t>ثاني ثانوي/1</t>
  </si>
  <si>
    <t>ثاني ثانوي/2</t>
  </si>
  <si>
    <t>ثالث ثانوي/1</t>
  </si>
  <si>
    <t>نون</t>
  </si>
  <si>
    <t>ثالث ثانوي/2</t>
  </si>
  <si>
    <t>3/3</t>
  </si>
  <si>
    <t>4/3</t>
  </si>
  <si>
    <t>شاغر</t>
  </si>
  <si>
    <r>
      <t xml:space="preserve">حسين عويضة </t>
    </r>
    <r>
      <rPr>
        <b/>
        <sz val="14"/>
        <color rgb="FFFF0000"/>
        <rFont val="Arial"/>
        <family val="2"/>
      </rPr>
      <t>(مكمل مكرر من الثانوي)</t>
    </r>
  </si>
  <si>
    <r>
      <t xml:space="preserve">محمد عبد الله </t>
    </r>
    <r>
      <rPr>
        <b/>
        <sz val="14"/>
        <color rgb="FFFF0000"/>
        <rFont val="Arial"/>
        <family val="2"/>
      </rPr>
      <t>(مكمل مكرر من الثانوي)</t>
    </r>
  </si>
  <si>
    <r>
      <t xml:space="preserve">عيد العتيبي + </t>
    </r>
    <r>
      <rPr>
        <sz val="14"/>
        <color rgb="FFFF0000"/>
        <rFont val="Arial"/>
        <family val="2"/>
      </rPr>
      <t xml:space="preserve">(م .اداري) </t>
    </r>
    <r>
      <rPr>
        <sz val="14"/>
        <color rgb="FF000000"/>
        <rFont val="Arial"/>
        <family val="2"/>
        <charset val="178"/>
      </rPr>
      <t xml:space="preserve">  </t>
    </r>
  </si>
  <si>
    <t xml:space="preserve">حسين عويضة </t>
  </si>
  <si>
    <t>محمد عبد الله</t>
  </si>
  <si>
    <r>
      <t xml:space="preserve">مصطفى فتحي </t>
    </r>
    <r>
      <rPr>
        <sz val="14"/>
        <color rgb="FFFF0000"/>
        <rFont val="Arial"/>
        <family val="2"/>
      </rPr>
      <t xml:space="preserve">(مكرر مكمل من المتوسط) </t>
    </r>
  </si>
  <si>
    <r>
      <t>14 تقنية 3ث كامل + 4 مجال صف 3 ث 7</t>
    </r>
    <r>
      <rPr>
        <b/>
        <sz val="14"/>
        <color rgb="FFFF0000"/>
        <rFont val="AdvertisingExtraBold"/>
        <charset val="178"/>
      </rPr>
      <t>+ مكمل (٨) حصص بالمتوسط</t>
    </r>
  </si>
  <si>
    <t>اجتماع</t>
  </si>
  <si>
    <t xml:space="preserve">بكالوريوس خدمة اجتماعية </t>
  </si>
  <si>
    <t>A.Alateeq@altanmiyah.edu.sa</t>
  </si>
  <si>
    <t>24@altanmiyah.edu.sa</t>
  </si>
  <si>
    <t>80@altanmiyah.edu.sa</t>
  </si>
  <si>
    <t>3503@altanmiyah.edu.sa</t>
  </si>
  <si>
    <t>رائدة نشاط</t>
  </si>
  <si>
    <t>15/16</t>
  </si>
  <si>
    <t>رخصة</t>
  </si>
  <si>
    <t>ياسر علواني حفني حسن</t>
  </si>
  <si>
    <t>سكرتير</t>
  </si>
  <si>
    <t>قسم البنين</t>
  </si>
  <si>
    <t>قسم البنات</t>
  </si>
  <si>
    <t>y.hassan@altanmiyah.edu.sa</t>
  </si>
  <si>
    <t>الجوهرة بنت سعود بن سعد البالود</t>
  </si>
  <si>
    <t>Aljoharah.albaloud@altanmiyah.edu.sa</t>
  </si>
  <si>
    <t>Amina.Alharbi@altanmiyah.edu.sa</t>
  </si>
  <si>
    <t>حميدة العنزي</t>
  </si>
  <si>
    <t>الجوهرة البالود</t>
  </si>
  <si>
    <t>محول دفعة ثانية من الشركة</t>
  </si>
  <si>
    <t>محول دفعة ثالثة من الشركة</t>
  </si>
  <si>
    <t>محول دفعة رابعة من الشركة</t>
  </si>
  <si>
    <t xml:space="preserve">المتبقى من التصفية  الثانية </t>
  </si>
  <si>
    <t>الدفعة الثانية مع المتبقي</t>
  </si>
  <si>
    <t>الدفعة الثالثة مع المتبقي</t>
  </si>
  <si>
    <t xml:space="preserve">المتبقى من التصفية  الثالثة </t>
  </si>
  <si>
    <t>بيان بعهدة المالية</t>
  </si>
  <si>
    <t>متبقي من المبلغ المحول</t>
  </si>
  <si>
    <t xml:space="preserve"> الطاقة الاستيعابية  حسب المبنى والفصول الدراسية</t>
  </si>
  <si>
    <t xml:space="preserve">احصاء العاملين بالمجمع </t>
  </si>
  <si>
    <t>معلمين - معلمات</t>
  </si>
  <si>
    <t>اداريين - اداريات</t>
  </si>
  <si>
    <t>عامل - عاملة</t>
  </si>
  <si>
    <t>إجمالي الطواقم</t>
  </si>
  <si>
    <t xml:space="preserve">تربية خاصة </t>
  </si>
  <si>
    <t>اجماليات المجمع</t>
  </si>
  <si>
    <t>الفئة</t>
  </si>
  <si>
    <t>اجماليات</t>
  </si>
  <si>
    <t>معلمين</t>
  </si>
  <si>
    <t>اجمالي معلمين</t>
  </si>
  <si>
    <t>معلمات</t>
  </si>
  <si>
    <t>اجمالي معلمات</t>
  </si>
  <si>
    <t>اداريين</t>
  </si>
  <si>
    <t>اجمالي اداريين</t>
  </si>
  <si>
    <t>اداريات</t>
  </si>
  <si>
    <t>اجمالي اداريات</t>
  </si>
  <si>
    <t>خدمات مساندة</t>
  </si>
  <si>
    <t>سائقين</t>
  </si>
  <si>
    <t>الطواقم</t>
  </si>
  <si>
    <t>طاقم اداري</t>
  </si>
  <si>
    <t>عمال</t>
  </si>
  <si>
    <t xml:space="preserve">مجمع دار القلم </t>
  </si>
  <si>
    <t>مسارات</t>
  </si>
  <si>
    <r>
      <t xml:space="preserve">  حساب الخدمات المساندة بالنسبة للطلاب  Students Support Services Ratio </t>
    </r>
    <r>
      <rPr>
        <b/>
        <sz val="14"/>
        <color theme="5" tint="-0.249977111117893"/>
        <rFont val="Traditional Arabic"/>
        <family val="1"/>
      </rPr>
      <t>SSR</t>
    </r>
  </si>
  <si>
    <t>علم ارض</t>
  </si>
  <si>
    <t>صقر</t>
  </si>
  <si>
    <t>ريان</t>
  </si>
  <si>
    <t>التمهيدي</t>
  </si>
  <si>
    <t>ابو السعود معاوية ابو السعود</t>
  </si>
  <si>
    <t>0554292056</t>
  </si>
  <si>
    <t>متوسط وثانوي</t>
  </si>
  <si>
    <t>صبري محمد محمود عثمان</t>
  </si>
  <si>
    <t>295</t>
  </si>
  <si>
    <t>2207392172</t>
  </si>
  <si>
    <t>553833279</t>
  </si>
  <si>
    <t xml:space="preserve">بنين </t>
  </si>
  <si>
    <t>أقسام البنين</t>
  </si>
  <si>
    <t>ابوبكر صديق</t>
  </si>
  <si>
    <t>0571650836</t>
  </si>
  <si>
    <t>كل المراحل</t>
  </si>
  <si>
    <t>فيضان احمد</t>
  </si>
  <si>
    <t>0575249055</t>
  </si>
  <si>
    <t>0571187133</t>
  </si>
  <si>
    <t>نجم الدين خان</t>
  </si>
  <si>
    <t>319</t>
  </si>
  <si>
    <t>2429347194</t>
  </si>
  <si>
    <t>0576104814</t>
  </si>
  <si>
    <t>نادر محمد عبد الهادي</t>
  </si>
  <si>
    <t>4625</t>
  </si>
  <si>
    <t>2615293293</t>
  </si>
  <si>
    <t>0544388592</t>
  </si>
  <si>
    <t>الابتدائي والمتوسط</t>
  </si>
  <si>
    <t>عتيق آل رامان</t>
  </si>
  <si>
    <t>2552787216</t>
  </si>
  <si>
    <t>0572188404</t>
  </si>
  <si>
    <t>0557887356</t>
  </si>
  <si>
    <t>0572556532</t>
  </si>
  <si>
    <t>عاملة نظافة</t>
  </si>
  <si>
    <t>التمهيدية</t>
  </si>
  <si>
    <t>كلاسيرا</t>
  </si>
  <si>
    <t>ممارس</t>
  </si>
  <si>
    <t>بيان بتصنيف المعلمين بمجمع دار القلم ١٤٤٧</t>
  </si>
  <si>
    <t>بيان بتصنيف المعلمات بمجمع دار القلم ١٤٤٧</t>
  </si>
  <si>
    <t xml:space="preserve"> عدد الفصول</t>
  </si>
  <si>
    <t>الصف الأول</t>
  </si>
  <si>
    <t>الصف الثاني</t>
  </si>
  <si>
    <t>الصف الثالث</t>
  </si>
  <si>
    <t>الصف الرابع</t>
  </si>
  <si>
    <t>الصف الخامس</t>
  </si>
  <si>
    <t>الصف السادس</t>
  </si>
  <si>
    <t xml:space="preserve">شواغر مجمع دار القلم </t>
  </si>
  <si>
    <t>اجمالي الشواغر</t>
  </si>
  <si>
    <t>داخلي</t>
  </si>
  <si>
    <t>خارجي</t>
  </si>
  <si>
    <t>إدارة تشغيلية عامة</t>
  </si>
  <si>
    <t>ريما فهد القحطاني</t>
  </si>
  <si>
    <t>إداريين المرحلة الابتدائية بنين</t>
  </si>
  <si>
    <t>إداريين المرحلة المتوسطة بنين</t>
  </si>
  <si>
    <t>إداريين المرحلة الثانوية بنين</t>
  </si>
  <si>
    <t>اداريين قسم البنين</t>
  </si>
  <si>
    <t>مقارنة النمو بين اغلاق عام ١٤٤٦ وبداية عام ١٤٤٧</t>
  </si>
  <si>
    <t>البيان</t>
  </si>
  <si>
    <t>مسار نون</t>
  </si>
  <si>
    <t>اغلاق ١٤٤٦</t>
  </si>
  <si>
    <t>بدء ١٤٤٧</t>
  </si>
  <si>
    <t>حالة النمو بداية الفصل الأول</t>
  </si>
  <si>
    <t>مقارنة النمو بين اغلاق الفصل الدراسي الأول ١٤٤٧ وبداية الفصل الدراسي الثاني ١٤٤٧</t>
  </si>
  <si>
    <t>اغلاق الفصل الدراسي الأول ١٤٤٧</t>
  </si>
  <si>
    <t>المنسحبين بنهاية الفصل الدراسي الأول ١٤٤٧</t>
  </si>
  <si>
    <t>الطلاب المنقطعين وتم طي قيدهم</t>
  </si>
  <si>
    <t>المسجلين الجدد بداية الفصل الدراسي الثاني ١٤٤٧</t>
  </si>
  <si>
    <t>حالة النمو بداية الفصل الثاني</t>
  </si>
  <si>
    <t>العدد بالحلول</t>
  </si>
  <si>
    <t>ديما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</si>
</sst>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
    <numFmt numFmtId="166" formatCode="0.000"/>
    <numFmt numFmtId="167" formatCode="[$-1010000]yyyy/mm/dd;@"/>
    <numFmt numFmtId="168" formatCode="&quot;dd/MM/yyyy&quot;"/>
    <numFmt numFmtId="169" formatCode="[$-2000000]0"/>
    <numFmt numFmtId="170" formatCode="[$-2000401]0"/>
  </numFmts>
  <fonts count="122">
    <font>
      <sz val="11"/>
      <color theme="1"/>
      <name val="Arial"/>
      <family val="2"/>
      <charset val="178"/>
      <scheme val="minor"/>
    </font>
    <font>
      <sz val="12"/>
      <color theme="1"/>
      <name val="Arial"/>
      <family val="2"/>
      <charset val="178"/>
      <scheme val="minor"/>
    </font>
    <font>
      <sz val="12"/>
      <color theme="1"/>
      <name val="Arial"/>
      <family val="2"/>
      <charset val="178"/>
      <scheme val="minor"/>
    </font>
    <font>
      <sz val="12"/>
      <color theme="1"/>
      <name val="Arial"/>
      <family val="2"/>
      <charset val="178"/>
      <scheme val="minor"/>
    </font>
    <font>
      <sz val="11"/>
      <color theme="1"/>
      <name val="Arial"/>
      <family val="2"/>
      <charset val="178"/>
      <scheme val="minor"/>
    </font>
    <font>
      <b/>
      <sz val="11"/>
      <color theme="1"/>
      <name val="Arial"/>
      <family val="2"/>
      <scheme val="minor"/>
    </font>
    <font>
      <b/>
      <sz val="16"/>
      <color theme="1"/>
      <name val="Arial"/>
      <family val="2"/>
      <scheme val="minor"/>
    </font>
    <font>
      <b/>
      <sz val="14"/>
      <color theme="1"/>
      <name val="Arial"/>
      <family val="2"/>
      <scheme val="minor"/>
    </font>
    <font>
      <b/>
      <sz val="12"/>
      <color theme="1"/>
      <name val="Arial"/>
      <family val="2"/>
      <scheme val="minor"/>
    </font>
    <font>
      <b/>
      <sz val="18"/>
      <color theme="1"/>
      <name val="Arial"/>
      <family val="2"/>
      <scheme val="minor"/>
    </font>
    <font>
      <sz val="11"/>
      <color theme="1"/>
      <name val="Arial"/>
      <family val="2"/>
      <scheme val="minor"/>
    </font>
    <font>
      <b/>
      <sz val="14"/>
      <color rgb="FF000000"/>
      <name val="Sakkal Majalla"/>
    </font>
    <font>
      <b/>
      <sz val="12"/>
      <color rgb="FF000000"/>
      <name val="Sakkal Majalla"/>
    </font>
    <font>
      <b/>
      <sz val="10"/>
      <color rgb="FF000000"/>
      <name val="Sakkal Majalla"/>
    </font>
    <font>
      <b/>
      <sz val="16"/>
      <color rgb="FF000000"/>
      <name val="Sakkal Majalla"/>
    </font>
    <font>
      <b/>
      <sz val="20"/>
      <color theme="1"/>
      <name val="Arial"/>
      <family val="2"/>
      <scheme val="minor"/>
    </font>
    <font>
      <b/>
      <sz val="10"/>
      <color rgb="FF000000"/>
      <name val="Times New Roman"/>
      <family val="1"/>
    </font>
    <font>
      <b/>
      <sz val="14"/>
      <color theme="1"/>
      <name val="Traditional Arabic"/>
      <family val="1"/>
    </font>
    <font>
      <b/>
      <sz val="16"/>
      <color theme="1"/>
      <name val="Times New Roman"/>
      <family val="1"/>
    </font>
    <font>
      <sz val="11"/>
      <color rgb="FF000000"/>
      <name val="Calibri"/>
      <family val="2"/>
    </font>
    <font>
      <b/>
      <sz val="11"/>
      <color theme="0"/>
      <name val="Arial"/>
      <family val="2"/>
      <scheme val="minor"/>
    </font>
    <font>
      <i/>
      <sz val="11"/>
      <color rgb="FF7F7F7F"/>
      <name val="Arial"/>
      <family val="2"/>
      <scheme val="minor"/>
    </font>
    <font>
      <b/>
      <sz val="24"/>
      <color theme="1"/>
      <name val="Times New Roman"/>
      <family val="1"/>
    </font>
    <font>
      <sz val="20"/>
      <color theme="1"/>
      <name val="Arial"/>
      <family val="2"/>
      <charset val="178"/>
      <scheme val="minor"/>
    </font>
    <font>
      <b/>
      <sz val="20"/>
      <color rgb="FF4472C4"/>
      <name val="Sakkal Majalla"/>
    </font>
    <font>
      <b/>
      <sz val="12"/>
      <color rgb="FF404040"/>
      <name val="Simplified Arabic"/>
      <family val="1"/>
    </font>
    <font>
      <b/>
      <sz val="12"/>
      <color rgb="FF404040"/>
      <name val="Arial"/>
      <family val="2"/>
    </font>
    <font>
      <b/>
      <sz val="12"/>
      <color rgb="FF404040"/>
      <name val="Times New Roman"/>
      <family val="1"/>
    </font>
    <font>
      <sz val="10"/>
      <color indexed="8"/>
      <name val="Arial"/>
      <family val="2"/>
    </font>
    <font>
      <b/>
      <sz val="12"/>
      <name val="Simplified Arabic"/>
      <family val="1"/>
    </font>
    <font>
      <b/>
      <sz val="10"/>
      <name val="Simplified Arabic"/>
      <family val="1"/>
    </font>
    <font>
      <sz val="16"/>
      <name val="Arial"/>
      <family val="2"/>
    </font>
    <font>
      <b/>
      <sz val="16"/>
      <name val="Arial"/>
      <family val="2"/>
    </font>
    <font>
      <sz val="8"/>
      <color rgb="FF000000"/>
      <name val="Tahoma"/>
      <family val="2"/>
    </font>
    <font>
      <b/>
      <sz val="14"/>
      <color theme="5" tint="-0.249977111117893"/>
      <name val="Traditional Arabic"/>
      <family val="1"/>
    </font>
    <font>
      <b/>
      <sz val="20"/>
      <color rgb="FF000000"/>
      <name val="Ae_AlMohanad"/>
      <family val="1"/>
    </font>
    <font>
      <b/>
      <sz val="14"/>
      <color rgb="FF3A239D"/>
      <name val="Ae_AlMohanad"/>
      <family val="1"/>
    </font>
    <font>
      <b/>
      <sz val="12"/>
      <color rgb="FF000000"/>
      <name val="Arial"/>
      <family val="2"/>
      <scheme val="minor"/>
    </font>
    <font>
      <b/>
      <sz val="12"/>
      <color rgb="FF000000"/>
      <name val="Ae_AlMohanad"/>
      <charset val="178"/>
    </font>
    <font>
      <b/>
      <sz val="11"/>
      <color rgb="FF000000"/>
      <name val="Arial"/>
      <family val="2"/>
      <scheme val="minor"/>
    </font>
    <font>
      <b/>
      <sz val="12"/>
      <color rgb="FF000000"/>
      <name val="Ae_AlMohanad"/>
      <family val="1"/>
    </font>
    <font>
      <sz val="12"/>
      <color rgb="FF000000"/>
      <name val="Ae_AlMohanad"/>
      <family val="1"/>
    </font>
    <font>
      <b/>
      <sz val="12"/>
      <color rgb="FF000000"/>
      <name val="Simplified Arabic"/>
      <family val="1"/>
    </font>
    <font>
      <b/>
      <sz val="12"/>
      <color rgb="FF000000"/>
      <name val="Arial"/>
      <family val="2"/>
      <charset val="178"/>
      <scheme val="minor"/>
    </font>
    <font>
      <b/>
      <sz val="12"/>
      <color rgb="FF000000"/>
      <name val="Ae_AlMohanad"/>
      <charset val="1"/>
    </font>
    <font>
      <sz val="11"/>
      <color rgb="FF000000"/>
      <name val="Arial"/>
      <family val="2"/>
      <charset val="178"/>
      <scheme val="minor"/>
    </font>
    <font>
      <b/>
      <sz val="24"/>
      <color rgb="FF000000"/>
      <name val="Ae_AlMohanad"/>
      <family val="1"/>
    </font>
    <font>
      <b/>
      <sz val="14"/>
      <color rgb="FF000000"/>
      <name val="Arial"/>
      <family val="2"/>
      <scheme val="minor"/>
    </font>
    <font>
      <b/>
      <sz val="16"/>
      <color rgb="FFFFFFFF"/>
      <name val="Simplified Arabic"/>
      <family val="1"/>
    </font>
    <font>
      <b/>
      <sz val="16"/>
      <color rgb="FF000000"/>
      <name val="Simplified Arabic"/>
      <family val="1"/>
    </font>
    <font>
      <b/>
      <sz val="16"/>
      <color rgb="FF000000"/>
      <name val="Ae_AlMohanad"/>
      <family val="1"/>
    </font>
    <font>
      <b/>
      <sz val="18"/>
      <color theme="1"/>
      <name val="Times New Roman"/>
      <family val="1"/>
    </font>
    <font>
      <b/>
      <sz val="12"/>
      <color theme="1"/>
      <name val="Arial"/>
      <family val="2"/>
    </font>
    <font>
      <b/>
      <sz val="16"/>
      <color rgb="FF000000"/>
      <name val="Arial"/>
      <family val="2"/>
      <scheme val="minor"/>
    </font>
    <font>
      <b/>
      <sz val="12"/>
      <color theme="1"/>
      <name val="Simplified Arabic"/>
      <family val="1"/>
    </font>
    <font>
      <b/>
      <sz val="13"/>
      <color theme="1"/>
      <name val="Mohammad Bold Normal"/>
    </font>
    <font>
      <b/>
      <sz val="13"/>
      <color theme="1"/>
      <name val="Times New Roman"/>
      <family val="1"/>
    </font>
    <font>
      <b/>
      <sz val="17"/>
      <color theme="1"/>
      <name val="Mohammad Bold Normal"/>
    </font>
    <font>
      <b/>
      <sz val="18"/>
      <color theme="1"/>
      <name val="Mohammad Bold Normal"/>
    </font>
    <font>
      <b/>
      <sz val="22"/>
      <color theme="1"/>
      <name val="Arial"/>
      <family val="2"/>
      <scheme val="minor"/>
    </font>
    <font>
      <u/>
      <sz val="11"/>
      <color theme="10"/>
      <name val="Arial"/>
      <family val="2"/>
      <charset val="178"/>
    </font>
    <font>
      <b/>
      <sz val="14"/>
      <color rgb="FF000000"/>
      <name val="Ae_AlMohanad"/>
      <family val="1"/>
    </font>
    <font>
      <b/>
      <sz val="12"/>
      <color rgb="FF000000"/>
      <name val="Calibri"/>
      <family val="2"/>
    </font>
    <font>
      <u/>
      <sz val="11"/>
      <color theme="10"/>
      <name val="Arial"/>
      <family val="2"/>
      <charset val="178"/>
      <scheme val="minor"/>
    </font>
    <font>
      <sz val="11"/>
      <color rgb="FF000000"/>
      <name val="Arial"/>
      <family val="2"/>
      <scheme val="minor"/>
    </font>
    <font>
      <b/>
      <sz val="12"/>
      <color theme="1"/>
      <name val="PT Bold Heading"/>
      <charset val="178"/>
    </font>
    <font>
      <b/>
      <sz val="10"/>
      <color rgb="FF000000"/>
      <name val="Simplified Arabic"/>
      <family val="1"/>
      <charset val="178"/>
    </font>
    <font>
      <b/>
      <sz val="10"/>
      <color rgb="FF000000"/>
      <name val="Simplified Arabic"/>
      <family val="1"/>
    </font>
    <font>
      <b/>
      <sz val="10"/>
      <color theme="1"/>
      <name val="Simplified Arabic"/>
      <family val="1"/>
      <charset val="178"/>
    </font>
    <font>
      <b/>
      <sz val="10"/>
      <color theme="1"/>
      <name val="Simplified Arabic"/>
      <family val="1"/>
    </font>
    <font>
      <b/>
      <sz val="12"/>
      <color theme="1"/>
      <name val="Ae_AlMohanad"/>
      <family val="1"/>
    </font>
    <font>
      <sz val="9"/>
      <color rgb="FFFFFFFF"/>
      <name val="Times New Roman"/>
      <family val="1"/>
    </font>
    <font>
      <sz val="9"/>
      <color theme="1"/>
      <name val="Times New Roman"/>
      <family val="1"/>
    </font>
    <font>
      <sz val="9"/>
      <color rgb="FF000000"/>
      <name val="Times New Roman"/>
      <family val="1"/>
    </font>
    <font>
      <b/>
      <sz val="14"/>
      <color rgb="FF000000"/>
      <name val="Arial"/>
      <family val="2"/>
      <charset val="178"/>
      <scheme val="minor"/>
    </font>
    <font>
      <b/>
      <sz val="12"/>
      <color rgb="FF000000"/>
      <name val="Ae_AlMohanad"/>
    </font>
    <font>
      <b/>
      <sz val="12"/>
      <color rgb="FF000000"/>
      <name val="Simplified Arabic"/>
    </font>
    <font>
      <b/>
      <sz val="11"/>
      <color theme="1"/>
      <name val="Arial"/>
      <family val="2"/>
      <charset val="178"/>
      <scheme val="minor"/>
    </font>
    <font>
      <sz val="12"/>
      <color rgb="FF000000"/>
      <name val="Arial"/>
      <family val="2"/>
      <scheme val="minor"/>
    </font>
    <font>
      <b/>
      <sz val="11"/>
      <color rgb="FF000000"/>
      <name val="A Jannat LT"/>
    </font>
    <font>
      <b/>
      <sz val="11"/>
      <color rgb="FF000000"/>
      <name val="AA-GALAXY-Bold"/>
    </font>
    <font>
      <b/>
      <sz val="12"/>
      <color rgb="FFFF0000"/>
      <name val="Arial"/>
      <family val="2"/>
      <scheme val="minor"/>
    </font>
    <font>
      <b/>
      <sz val="12"/>
      <color rgb="FF000000"/>
      <name val="Simplified Arabic"/>
      <family val="1"/>
      <charset val="178"/>
    </font>
    <font>
      <b/>
      <sz val="12"/>
      <color rgb="FF000000"/>
      <name val="Ae_AlMohanad"/>
      <family val="1"/>
      <charset val="178"/>
    </font>
    <font>
      <b/>
      <sz val="18"/>
      <color rgb="FF000000"/>
      <name val="Arial"/>
      <family val="2"/>
      <scheme val="minor"/>
    </font>
    <font>
      <b/>
      <sz val="14"/>
      <color rgb="FF000000"/>
      <name val="Arial"/>
      <family val="2"/>
    </font>
    <font>
      <b/>
      <sz val="14"/>
      <color theme="1"/>
      <name val="Arial"/>
      <family val="2"/>
    </font>
    <font>
      <b/>
      <sz val="14"/>
      <color rgb="FF404040"/>
      <name val="Arial"/>
      <family val="2"/>
    </font>
    <font>
      <b/>
      <sz val="14"/>
      <color rgb="FF00B050"/>
      <name val="Arial"/>
      <family val="2"/>
    </font>
    <font>
      <b/>
      <sz val="14"/>
      <color rgb="FF0070C0"/>
      <name val="Arial"/>
      <family val="2"/>
    </font>
    <font>
      <b/>
      <sz val="14"/>
      <color rgb="FFFF0000"/>
      <name val="Arial"/>
      <family val="2"/>
    </font>
    <font>
      <b/>
      <sz val="12"/>
      <color theme="0"/>
      <name val="Arial"/>
      <family val="2"/>
    </font>
    <font>
      <b/>
      <sz val="11"/>
      <color theme="0"/>
      <name val="AdvertisingExtraBold"/>
      <charset val="178"/>
    </font>
    <font>
      <b/>
      <sz val="14"/>
      <color rgb="FF404040"/>
      <name val="Simplified Arabic"/>
      <family val="1"/>
      <charset val="178"/>
    </font>
    <font>
      <sz val="14"/>
      <color rgb="FF000000"/>
      <name val="Arial"/>
      <family val="2"/>
      <charset val="178"/>
    </font>
    <font>
      <b/>
      <sz val="14"/>
      <color rgb="FF000000"/>
      <name val="Arial"/>
      <family val="2"/>
      <charset val="178"/>
    </font>
    <font>
      <b/>
      <sz val="14"/>
      <color rgb="FF000000"/>
      <name val="AdvertisingExtraBold"/>
      <charset val="178"/>
    </font>
    <font>
      <b/>
      <sz val="14"/>
      <color theme="1"/>
      <name val="AdvertisingExtraBold"/>
      <charset val="178"/>
    </font>
    <font>
      <b/>
      <sz val="14"/>
      <color rgb="FF000000"/>
      <name val="AdvertisingExtraBold"/>
    </font>
    <font>
      <b/>
      <sz val="14"/>
      <color rgb="FFFF0000"/>
      <name val="AdvertisingExtraBold"/>
      <charset val="178"/>
    </font>
    <font>
      <b/>
      <sz val="14"/>
      <color rgb="FFFF0000"/>
      <name val="Geeza Pro Regular"/>
      <charset val="178"/>
    </font>
    <font>
      <b/>
      <sz val="14"/>
      <color rgb="FFFF0000"/>
      <name val="Arial"/>
      <family val="2"/>
      <scheme val="minor"/>
    </font>
    <font>
      <b/>
      <sz val="14"/>
      <color theme="1"/>
      <name val="Arial"/>
      <family val="2"/>
      <charset val="178"/>
      <scheme val="minor"/>
    </font>
    <font>
      <b/>
      <sz val="14"/>
      <color rgb="FF404040"/>
      <name val="Arial"/>
      <family val="2"/>
      <charset val="178"/>
      <scheme val="minor"/>
    </font>
    <font>
      <b/>
      <sz val="14"/>
      <color rgb="FF00B050"/>
      <name val="Arial"/>
      <family val="2"/>
      <charset val="178"/>
      <scheme val="minor"/>
    </font>
    <font>
      <b/>
      <sz val="14"/>
      <name val="Arial"/>
      <family val="2"/>
      <charset val="178"/>
      <scheme val="minor"/>
    </font>
    <font>
      <b/>
      <sz val="14"/>
      <color rgb="FFFF0000"/>
      <name val="Arial"/>
      <family val="2"/>
      <charset val="178"/>
      <scheme val="minor"/>
    </font>
    <font>
      <b/>
      <sz val="18"/>
      <color theme="1"/>
      <name val="Arial"/>
      <family val="2"/>
      <charset val="178"/>
      <scheme val="minor"/>
    </font>
    <font>
      <b/>
      <sz val="16"/>
      <name val="Simplified Arabic"/>
      <family val="1"/>
    </font>
    <font>
      <b/>
      <sz val="14"/>
      <name val="Simplified Arabic"/>
      <family val="1"/>
    </font>
    <font>
      <sz val="16"/>
      <color theme="1"/>
      <name val="Arial"/>
      <family val="2"/>
      <scheme val="minor"/>
    </font>
    <font>
      <sz val="14"/>
      <color rgb="FFFF0000"/>
      <name val="Arial"/>
      <family val="2"/>
    </font>
    <font>
      <sz val="12"/>
      <color rgb="FF000000"/>
      <name val="Calibri"/>
      <family val="2"/>
      <charset val="178"/>
    </font>
    <font>
      <b/>
      <sz val="16"/>
      <color rgb="FFFF0000"/>
      <name val="Arial"/>
      <family val="2"/>
      <scheme val="minor"/>
    </font>
    <font>
      <b/>
      <sz val="14"/>
      <name val="Times New Roman"/>
      <family val="1"/>
      <charset val="178"/>
    </font>
    <font>
      <b/>
      <sz val="8"/>
      <color rgb="FF000000"/>
      <name val="Tahoma"/>
      <family val="2"/>
      <charset val="178"/>
    </font>
    <font>
      <b/>
      <sz val="14"/>
      <color rgb="FF000000"/>
      <name val="Times New Roman"/>
      <family val="1"/>
      <charset val="178"/>
    </font>
    <font>
      <b/>
      <sz val="10"/>
      <color rgb="FF000000"/>
      <name val="Times New Roman"/>
      <family val="1"/>
      <charset val="178"/>
    </font>
    <font>
      <b/>
      <sz val="8"/>
      <color rgb="FFFF0000"/>
      <name val="Tahoma"/>
      <family val="2"/>
      <charset val="178"/>
    </font>
    <font>
      <b/>
      <sz val="11"/>
      <color rgb="FFFF0000"/>
      <name val="Arial"/>
      <family val="2"/>
      <charset val="178"/>
      <scheme val="minor"/>
    </font>
    <font>
      <b/>
      <sz val="11"/>
      <color rgb="FF00B050"/>
      <name val="Arial"/>
      <family val="2"/>
      <charset val="178"/>
      <scheme val="minor"/>
    </font>
    <font>
      <sz val="14"/>
      <color rgb="FF000000"/>
      <name val="Arial"/>
      <family val="2"/>
      <scheme val="minor"/>
    </font>
  </fonts>
  <fills count="95">
    <fill>
      <patternFill patternType="none"/>
    </fill>
    <fill>
      <patternFill patternType="gray125"/>
    </fill>
    <fill>
      <patternFill patternType="solid">
        <fgColor rgb="FFA5A5A5"/>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00B0F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rgb="FF92D05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rgb="FFD9D9D9"/>
        <bgColor indexed="64"/>
      </patternFill>
    </fill>
    <fill>
      <patternFill patternType="solid">
        <fgColor rgb="FFFFFFFF"/>
        <bgColor indexed="64"/>
      </patternFill>
    </fill>
    <fill>
      <patternFill patternType="solid">
        <fgColor rgb="FFFBE4D5"/>
        <bgColor indexed="64"/>
      </patternFill>
    </fill>
    <fill>
      <patternFill patternType="solid">
        <fgColor rgb="FFD5DCE4"/>
        <bgColor indexed="64"/>
      </patternFill>
    </fill>
    <fill>
      <patternFill patternType="solid">
        <fgColor theme="2" tint="-0.249977111117893"/>
        <bgColor indexed="64"/>
      </patternFill>
    </fill>
    <fill>
      <patternFill patternType="solid">
        <fgColor rgb="FFFF0000"/>
        <bgColor indexed="64"/>
      </patternFill>
    </fill>
    <fill>
      <patternFill patternType="solid">
        <fgColor rgb="FFA6A6A6"/>
        <bgColor indexed="64"/>
      </patternFill>
    </fill>
    <fill>
      <patternFill patternType="solid">
        <fgColor rgb="FFBFBFBF"/>
        <bgColor indexed="64"/>
      </patternFill>
    </fill>
    <fill>
      <patternFill patternType="solid">
        <fgColor rgb="FFF4B083"/>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rgb="FFF0F0F0"/>
      </patternFill>
    </fill>
    <fill>
      <patternFill patternType="solid">
        <fgColor rgb="FFD6DCE4"/>
        <bgColor rgb="FF000000"/>
      </patternFill>
    </fill>
    <fill>
      <patternFill patternType="solid">
        <fgColor rgb="FFF2F2F2"/>
        <bgColor rgb="FF0070C0"/>
      </patternFill>
    </fill>
    <fill>
      <patternFill patternType="solid">
        <fgColor rgb="FFFFFFFF"/>
        <bgColor rgb="FF000000"/>
      </patternFill>
    </fill>
    <fill>
      <patternFill patternType="solid">
        <fgColor rgb="FFD9E1F2"/>
        <bgColor rgb="FF000000"/>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tint="-0.249977111117893"/>
        <bgColor rgb="FF000000"/>
      </patternFill>
    </fill>
    <fill>
      <patternFill patternType="solid">
        <fgColor theme="6" tint="0.59999389629810485"/>
        <bgColor indexed="64"/>
      </patternFill>
    </fill>
    <fill>
      <patternFill patternType="solid">
        <fgColor rgb="FF65F52B"/>
        <bgColor rgb="FF000000"/>
      </patternFill>
    </fill>
    <fill>
      <patternFill patternType="solid">
        <fgColor rgb="FF65F52B"/>
        <bgColor indexed="64"/>
      </patternFill>
    </fill>
    <fill>
      <patternFill patternType="solid">
        <fgColor theme="6" tint="0.59999389629810485"/>
        <bgColor rgb="FF000000"/>
      </patternFill>
    </fill>
    <fill>
      <patternFill patternType="solid">
        <fgColor theme="0" tint="-0.499984740745262"/>
        <bgColor indexed="64"/>
      </patternFill>
    </fill>
    <fill>
      <patternFill patternType="solid">
        <fgColor rgb="FFF8EDEC"/>
        <bgColor indexed="64"/>
      </patternFill>
    </fill>
    <fill>
      <patternFill patternType="solid">
        <fgColor rgb="FFFFFFC5"/>
        <bgColor indexed="64"/>
      </patternFill>
    </fill>
    <fill>
      <patternFill patternType="solid">
        <fgColor rgb="FF6DD9FF"/>
        <bgColor indexed="64"/>
      </patternFill>
    </fill>
    <fill>
      <patternFill patternType="solid">
        <fgColor rgb="FFFF6161"/>
        <bgColor indexed="64"/>
      </patternFill>
    </fill>
    <fill>
      <patternFill patternType="solid">
        <fgColor rgb="FFFF9FFF"/>
        <bgColor indexed="64"/>
      </patternFill>
    </fill>
    <fill>
      <patternFill patternType="solid">
        <fgColor rgb="FF75FF7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A7E2FF"/>
        <bgColor indexed="64"/>
      </patternFill>
    </fill>
    <fill>
      <patternFill patternType="solid">
        <fgColor rgb="FF00ED32"/>
        <bgColor indexed="64"/>
      </patternFill>
    </fill>
    <fill>
      <patternFill patternType="solid">
        <fgColor rgb="FF808080"/>
      </patternFill>
    </fill>
    <fill>
      <patternFill patternType="solid">
        <fgColor theme="5"/>
        <bgColor indexed="64"/>
      </patternFill>
    </fill>
    <fill>
      <patternFill patternType="solid">
        <fgColor rgb="FFFFFFFF"/>
      </patternFill>
    </fill>
    <fill>
      <patternFill patternType="solid">
        <fgColor rgb="FF00FF00"/>
        <bgColor indexed="64"/>
      </patternFill>
    </fill>
    <fill>
      <patternFill patternType="solid">
        <fgColor theme="9" tint="0.39997558519241921"/>
        <bgColor rgb="FFA8D08D"/>
      </patternFill>
    </fill>
    <fill>
      <patternFill patternType="solid">
        <fgColor theme="8" tint="0.59999389629810485"/>
        <bgColor rgb="FFA8D08D"/>
      </patternFill>
    </fill>
    <fill>
      <patternFill patternType="solid">
        <fgColor theme="7" tint="0.59999389629810485"/>
        <bgColor rgb="FFA8D08D"/>
      </patternFill>
    </fill>
    <fill>
      <patternFill patternType="solid">
        <fgColor rgb="FFC9C9C9"/>
        <bgColor rgb="FF000000"/>
      </patternFill>
    </fill>
    <fill>
      <patternFill patternType="solid">
        <fgColor rgb="FFBFBFBF"/>
        <bgColor rgb="FF000000"/>
      </patternFill>
    </fill>
    <fill>
      <patternFill patternType="solid">
        <fgColor rgb="FFA9D08E"/>
        <bgColor rgb="FF000000"/>
      </patternFill>
    </fill>
    <fill>
      <patternFill patternType="solid">
        <fgColor rgb="FFBDD7EE"/>
        <bgColor rgb="FF000000"/>
      </patternFill>
    </fill>
    <fill>
      <patternFill patternType="solid">
        <fgColor rgb="FF92D050"/>
        <bgColor rgb="FF000000"/>
      </patternFill>
    </fill>
    <fill>
      <patternFill patternType="solid">
        <fgColor rgb="FFFCE4D6"/>
        <bgColor rgb="FF000000"/>
      </patternFill>
    </fill>
    <fill>
      <patternFill patternType="solid">
        <fgColor rgb="FFFFF2CC"/>
        <bgColor rgb="FF000000"/>
      </patternFill>
    </fill>
    <fill>
      <patternFill patternType="solid">
        <fgColor rgb="FFEDEDED"/>
        <bgColor rgb="FF000000"/>
      </patternFill>
    </fill>
    <fill>
      <patternFill patternType="solid">
        <fgColor rgb="FFC6E0B4"/>
        <bgColor rgb="FF000000"/>
      </patternFill>
    </fill>
    <fill>
      <patternFill patternType="solid">
        <fgColor rgb="FFFFFF00"/>
        <bgColor rgb="FF000000"/>
      </patternFill>
    </fill>
    <fill>
      <patternFill patternType="solid">
        <fgColor rgb="FFDDEBF7"/>
        <bgColor rgb="FF000000"/>
      </patternFill>
    </fill>
    <fill>
      <patternFill patternType="solid">
        <fgColor rgb="FFE2EFDA"/>
        <bgColor rgb="FF000000"/>
      </patternFill>
    </fill>
    <fill>
      <patternFill patternType="solid">
        <fgColor rgb="FFD9D9D9"/>
        <bgColor rgb="FF000000"/>
      </patternFill>
    </fill>
    <fill>
      <patternFill patternType="solid">
        <fgColor rgb="FFFF0000"/>
        <bgColor rgb="FF000000"/>
      </patternFill>
    </fill>
    <fill>
      <patternFill patternType="solid">
        <fgColor rgb="FFFFE699"/>
        <bgColor rgb="FF000000"/>
      </patternFill>
    </fill>
    <fill>
      <patternFill patternType="solid">
        <fgColor rgb="FF2FF12F"/>
        <bgColor rgb="FF000000"/>
      </patternFill>
    </fill>
    <fill>
      <patternFill patternType="solid">
        <fgColor rgb="FF000000"/>
        <bgColor rgb="FF000000"/>
      </patternFill>
    </fill>
    <fill>
      <patternFill patternType="solid">
        <fgColor theme="8" tint="-0.249977111117893"/>
        <bgColor indexed="64"/>
      </patternFill>
    </fill>
    <fill>
      <patternFill patternType="solid">
        <fgColor rgb="FFFAE2D5"/>
        <bgColor indexed="64"/>
      </patternFill>
    </fill>
    <fill>
      <patternFill patternType="solid">
        <fgColor rgb="FFD9F2D0"/>
        <bgColor indexed="64"/>
      </patternFill>
    </fill>
    <fill>
      <patternFill patternType="solid">
        <fgColor rgb="FF0070C0"/>
        <bgColor indexed="64"/>
      </patternFill>
    </fill>
    <fill>
      <patternFill patternType="solid">
        <fgColor theme="4" tint="0.79998168889431442"/>
        <bgColor rgb="FF0070C0"/>
      </patternFill>
    </fill>
    <fill>
      <patternFill patternType="solid">
        <fgColor rgb="FF00E8C7"/>
        <bgColor indexed="64"/>
      </patternFill>
    </fill>
    <fill>
      <patternFill patternType="solid">
        <fgColor rgb="FFF4B084"/>
        <bgColor rgb="FF000000"/>
      </patternFill>
    </fill>
    <fill>
      <patternFill patternType="solid">
        <fgColor rgb="FFA6A6A6"/>
        <bgColor rgb="FF000000"/>
      </patternFill>
    </fill>
    <fill>
      <patternFill patternType="solid">
        <fgColor rgb="FFFF93FF"/>
        <bgColor rgb="FF000000"/>
      </patternFill>
    </fill>
    <fill>
      <patternFill patternType="solid">
        <fgColor rgb="FFFFFFC5"/>
        <bgColor rgb="FF000000"/>
      </patternFill>
    </fill>
    <fill>
      <patternFill patternType="solid">
        <fgColor theme="3" tint="0.59999389629810485"/>
        <bgColor indexed="64"/>
      </patternFill>
    </fill>
    <fill>
      <patternFill patternType="solid">
        <fgColor theme="3" tint="0.79998168889431442"/>
        <bgColor indexed="64"/>
      </patternFill>
    </fill>
    <fill>
      <patternFill patternType="solid">
        <fgColor theme="1"/>
        <bgColor rgb="FF000000"/>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E900"/>
        <bgColor indexed="64"/>
      </patternFill>
    </fill>
  </fills>
  <borders count="86">
    <border>
      <left/>
      <right/>
      <top/>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indexed="64"/>
      </right>
      <top style="thin">
        <color indexed="64"/>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bottom style="medium">
        <color indexed="64"/>
      </bottom>
      <diagonal/>
    </border>
    <border>
      <left/>
      <right style="double">
        <color indexed="64"/>
      </right>
      <top/>
      <bottom style="medium">
        <color indexed="64"/>
      </bottom>
      <diagonal/>
    </border>
    <border>
      <left style="double">
        <color indexed="64"/>
      </left>
      <right style="double">
        <color indexed="64"/>
      </right>
      <top style="medium">
        <color indexed="64"/>
      </top>
      <bottom/>
      <diagonal/>
    </border>
    <border>
      <left style="double">
        <color indexed="64"/>
      </left>
      <right style="double">
        <color indexed="64"/>
      </right>
      <top style="double">
        <color indexed="64"/>
      </top>
      <bottom/>
      <diagonal/>
    </border>
    <border>
      <left style="double">
        <color indexed="64"/>
      </left>
      <right/>
      <top style="medium">
        <color indexed="64"/>
      </top>
      <bottom style="double">
        <color indexed="64"/>
      </bottom>
      <diagonal/>
    </border>
    <border>
      <left/>
      <right style="double">
        <color indexed="64"/>
      </right>
      <top style="medium">
        <color indexed="64"/>
      </top>
      <bottom style="double">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auto="1"/>
      </left>
      <right style="medium">
        <color auto="1"/>
      </right>
      <top style="medium">
        <color auto="1"/>
      </top>
      <bottom style="medium">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rgb="FF000000"/>
      </bottom>
      <diagonal/>
    </border>
    <border>
      <left/>
      <right style="medium">
        <color auto="1"/>
      </right>
      <top style="medium">
        <color indexed="64"/>
      </top>
      <bottom style="medium">
        <color auto="1"/>
      </bottom>
      <diagonal/>
    </border>
    <border>
      <left style="medium">
        <color indexed="64"/>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rgb="FF000000"/>
      </bottom>
      <diagonal/>
    </border>
    <border>
      <left style="medium">
        <color indexed="64"/>
      </left>
      <right/>
      <top style="medium">
        <color indexed="64"/>
      </top>
      <bottom style="medium">
        <color rgb="FF000000"/>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rgb="FF000000"/>
      </bottom>
      <diagonal/>
    </border>
    <border>
      <left style="thin">
        <color auto="1"/>
      </left>
      <right style="thin">
        <color auto="1"/>
      </right>
      <top style="thin">
        <color auto="1"/>
      </top>
      <bottom style="thick">
        <color auto="1"/>
      </bottom>
      <diagonal/>
    </border>
    <border>
      <left style="thin">
        <color auto="1"/>
      </left>
      <right style="thin">
        <color auto="1"/>
      </right>
      <top/>
      <bottom style="thick">
        <color auto="1"/>
      </bottom>
      <diagonal/>
    </border>
    <border>
      <left style="thin">
        <color auto="1"/>
      </left>
      <right style="thin">
        <color auto="1"/>
      </right>
      <top style="thick">
        <color auto="1"/>
      </top>
      <bottom/>
      <diagonal/>
    </border>
    <border>
      <left style="thin">
        <color auto="1"/>
      </left>
      <right style="thick">
        <color auto="1"/>
      </right>
      <top style="thin">
        <color auto="1"/>
      </top>
      <bottom style="thick">
        <color auto="1"/>
      </bottom>
      <diagonal/>
    </border>
    <border>
      <left style="thin">
        <color auto="1"/>
      </left>
      <right style="thick">
        <color auto="1"/>
      </right>
      <top style="thin">
        <color auto="1"/>
      </top>
      <bottom style="thin">
        <color auto="1"/>
      </bottom>
      <diagonal/>
    </border>
    <border>
      <left style="thin">
        <color auto="1"/>
      </left>
      <right style="thick">
        <color auto="1"/>
      </right>
      <top/>
      <bottom style="thin">
        <color auto="1"/>
      </bottom>
      <diagonal/>
    </border>
    <border>
      <left style="thick">
        <color auto="1"/>
      </left>
      <right style="thin">
        <color auto="1"/>
      </right>
      <top style="thin">
        <color auto="1"/>
      </top>
      <bottom style="thick">
        <color auto="1"/>
      </bottom>
      <diagonal/>
    </border>
    <border>
      <left style="thick">
        <color auto="1"/>
      </left>
      <right style="thin">
        <color auto="1"/>
      </right>
      <top style="thin">
        <color auto="1"/>
      </top>
      <bottom style="thin">
        <color auto="1"/>
      </bottom>
      <diagonal/>
    </border>
    <border>
      <left style="thick">
        <color auto="1"/>
      </left>
      <right style="thin">
        <color auto="1"/>
      </right>
      <top style="thick">
        <color auto="1"/>
      </top>
      <bottom/>
      <diagonal/>
    </border>
    <border>
      <left style="thick">
        <color auto="1"/>
      </left>
      <right style="thin">
        <color auto="1"/>
      </right>
      <top/>
      <bottom/>
      <diagonal/>
    </border>
    <border>
      <left style="thick">
        <color auto="1"/>
      </left>
      <right style="thin">
        <color auto="1"/>
      </right>
      <top/>
      <bottom style="thick">
        <color auto="1"/>
      </bottom>
      <diagonal/>
    </border>
    <border>
      <left style="thick">
        <color auto="1"/>
      </left>
      <right style="thin">
        <color auto="1"/>
      </right>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rgb="FFA0A0A0"/>
      </left>
      <right style="thin">
        <color rgb="FFA0A0A0"/>
      </right>
      <top style="thin">
        <color rgb="FFA0A0A0"/>
      </top>
      <bottom style="thin">
        <color rgb="FFA0A0A0"/>
      </bottom>
      <diagonal/>
    </border>
    <border>
      <left style="thin">
        <color rgb="FF000000"/>
      </left>
      <right style="thin">
        <color rgb="FF000000"/>
      </right>
      <top style="thin">
        <color rgb="FF000000"/>
      </top>
      <bottom style="thin">
        <color rgb="FF000000"/>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18">
    <xf numFmtId="0" fontId="0" fillId="0" borderId="0"/>
    <xf numFmtId="0" fontId="10" fillId="0" borderId="0"/>
    <xf numFmtId="164" fontId="10" fillId="0" borderId="0" applyFont="0" applyFill="0" applyBorder="0" applyAlignment="0" applyProtection="0"/>
    <xf numFmtId="9" fontId="10" fillId="0" borderId="0" applyFont="0" applyFill="0" applyBorder="0" applyAlignment="0" applyProtection="0"/>
    <xf numFmtId="0" fontId="4" fillId="0" borderId="0"/>
    <xf numFmtId="0" fontId="19" fillId="0" borderId="0"/>
    <xf numFmtId="0" fontId="20" fillId="2" borderId="1" applyNumberFormat="0" applyAlignment="0" applyProtection="0"/>
    <xf numFmtId="0" fontId="21" fillId="0" borderId="0" applyNumberFormat="0" applyFill="0" applyBorder="0" applyAlignment="0" applyProtection="0"/>
    <xf numFmtId="0" fontId="28" fillId="0" borderId="0"/>
    <xf numFmtId="0" fontId="63" fillId="0" borderId="0" applyNumberFormat="0" applyFill="0" applyBorder="0" applyAlignment="0" applyProtection="0"/>
    <xf numFmtId="0" fontId="64" fillId="0" borderId="0"/>
    <xf numFmtId="0" fontId="63" fillId="0" borderId="0" applyNumberFormat="0" applyFill="0" applyBorder="0" applyAlignment="0" applyProtection="0"/>
    <xf numFmtId="0" fontId="60" fillId="0" borderId="0" applyNumberFormat="0" applyFill="0" applyBorder="0" applyAlignment="0" applyProtection="0">
      <alignment vertical="top"/>
      <protection locked="0"/>
    </xf>
    <xf numFmtId="0" fontId="10" fillId="0" borderId="0"/>
    <xf numFmtId="0" fontId="3" fillId="0" borderId="0"/>
    <xf numFmtId="0" fontId="2" fillId="0" borderId="0"/>
    <xf numFmtId="0" fontId="1" fillId="0" borderId="0"/>
    <xf numFmtId="0" fontId="63" fillId="0" borderId="0" applyNumberFormat="0" applyFill="0" applyBorder="0" applyAlignment="0" applyProtection="0"/>
  </cellStyleXfs>
  <cellXfs count="831">
    <xf numFmtId="0" fontId="0" fillId="0" borderId="0" xfId="0"/>
    <xf numFmtId="0" fontId="11" fillId="20" borderId="21" xfId="0" applyFont="1" applyFill="1" applyBorder="1" applyAlignment="1">
      <alignment horizontal="center" wrapText="1"/>
    </xf>
    <xf numFmtId="0" fontId="11" fillId="20" borderId="22" xfId="0" applyFont="1" applyFill="1" applyBorder="1" applyAlignment="1">
      <alignment horizontal="center" wrapText="1"/>
    </xf>
    <xf numFmtId="0" fontId="13" fillId="22" borderId="22" xfId="0" applyFont="1" applyFill="1" applyBorder="1" applyAlignment="1">
      <alignment horizontal="center" wrapText="1"/>
    </xf>
    <xf numFmtId="0" fontId="13" fillId="23" borderId="22" xfId="0" applyFont="1" applyFill="1" applyBorder="1" applyAlignment="1">
      <alignment horizontal="center" wrapText="1"/>
    </xf>
    <xf numFmtId="0" fontId="13" fillId="22" borderId="24" xfId="0" applyFont="1" applyFill="1" applyBorder="1" applyAlignment="1">
      <alignment horizontal="center" wrapText="1"/>
    </xf>
    <xf numFmtId="0" fontId="11" fillId="20" borderId="22" xfId="0" applyFont="1" applyFill="1" applyBorder="1" applyAlignment="1">
      <alignment horizontal="center" vertical="center" wrapText="1"/>
    </xf>
    <xf numFmtId="0" fontId="14" fillId="22" borderId="22" xfId="0" applyFont="1" applyFill="1" applyBorder="1" applyAlignment="1">
      <alignment horizontal="center" vertical="center" wrapText="1" readingOrder="2"/>
    </xf>
    <xf numFmtId="0" fontId="14" fillId="23" borderId="22" xfId="0" applyFont="1" applyFill="1" applyBorder="1" applyAlignment="1">
      <alignment horizontal="center" vertical="center" wrapText="1" readingOrder="2"/>
    </xf>
    <xf numFmtId="0" fontId="14" fillId="22" borderId="24" xfId="0" applyFont="1" applyFill="1" applyBorder="1" applyAlignment="1">
      <alignment horizontal="center" vertical="center" wrapText="1" readingOrder="2"/>
    </xf>
    <xf numFmtId="0" fontId="12" fillId="20" borderId="22" xfId="0" applyFont="1" applyFill="1" applyBorder="1" applyAlignment="1">
      <alignment horizontal="center" wrapText="1"/>
    </xf>
    <xf numFmtId="9" fontId="14" fillId="22" borderId="22" xfId="0" applyNumberFormat="1" applyFont="1" applyFill="1" applyBorder="1" applyAlignment="1">
      <alignment horizontal="center" vertical="center" wrapText="1" readingOrder="2"/>
    </xf>
    <xf numFmtId="9" fontId="14" fillId="23" borderId="22" xfId="0" applyNumberFormat="1" applyFont="1" applyFill="1" applyBorder="1" applyAlignment="1">
      <alignment horizontal="center" vertical="center" wrapText="1" readingOrder="2"/>
    </xf>
    <xf numFmtId="0" fontId="14" fillId="20" borderId="22" xfId="0" applyFont="1" applyFill="1" applyBorder="1" applyAlignment="1">
      <alignment horizontal="center" vertical="center" wrapText="1" readingOrder="2"/>
    </xf>
    <xf numFmtId="0" fontId="11" fillId="22" borderId="22" xfId="0" applyFont="1" applyFill="1" applyBorder="1" applyAlignment="1">
      <alignment horizontal="center" vertical="center" wrapText="1"/>
    </xf>
    <xf numFmtId="0" fontId="11" fillId="23" borderId="22" xfId="0" applyFont="1" applyFill="1" applyBorder="1" applyAlignment="1">
      <alignment horizontal="center" vertical="center" wrapText="1"/>
    </xf>
    <xf numFmtId="0" fontId="11" fillId="22" borderId="24" xfId="0" applyFont="1" applyFill="1" applyBorder="1" applyAlignment="1">
      <alignment horizontal="center" vertical="center" wrapText="1"/>
    </xf>
    <xf numFmtId="0" fontId="11" fillId="23" borderId="24" xfId="0" applyFont="1" applyFill="1" applyBorder="1" applyAlignment="1">
      <alignment horizontal="center" vertical="center" wrapText="1"/>
    </xf>
    <xf numFmtId="9" fontId="14" fillId="5" borderId="22" xfId="0" applyNumberFormat="1" applyFont="1" applyFill="1" applyBorder="1" applyAlignment="1">
      <alignment horizontal="center" vertical="center" wrapText="1" readingOrder="2"/>
    </xf>
    <xf numFmtId="0" fontId="7" fillId="0" borderId="0" xfId="0" applyFont="1" applyAlignment="1">
      <alignment vertical="center"/>
    </xf>
    <xf numFmtId="0" fontId="17" fillId="26" borderId="29" xfId="0" applyFont="1" applyFill="1" applyBorder="1" applyAlignment="1">
      <alignment horizontal="center" vertical="center" wrapText="1" readingOrder="2"/>
    </xf>
    <xf numFmtId="0" fontId="18" fillId="5" borderId="30"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32" xfId="0" applyFont="1" applyBorder="1" applyAlignment="1">
      <alignment horizontal="center" vertical="center" wrapText="1"/>
    </xf>
    <xf numFmtId="0" fontId="0" fillId="17" borderId="0" xfId="0" applyFill="1"/>
    <xf numFmtId="0" fontId="23" fillId="0" borderId="0" xfId="0" applyFont="1"/>
    <xf numFmtId="0" fontId="0" fillId="0" borderId="0" xfId="0" applyAlignment="1">
      <alignment horizontal="center" vertical="center"/>
    </xf>
    <xf numFmtId="0" fontId="29" fillId="29" borderId="2" xfId="0" applyFont="1" applyFill="1" applyBorder="1" applyAlignment="1">
      <alignment horizontal="center" vertical="center" readingOrder="2"/>
    </xf>
    <xf numFmtId="0" fontId="31" fillId="30" borderId="2" xfId="0" applyFont="1" applyFill="1" applyBorder="1" applyAlignment="1">
      <alignment horizontal="center" vertical="center" readingOrder="2"/>
    </xf>
    <xf numFmtId="0" fontId="31" fillId="0" borderId="2" xfId="0" applyFont="1" applyBorder="1" applyAlignment="1">
      <alignment horizontal="center" vertical="center" readingOrder="2"/>
    </xf>
    <xf numFmtId="1" fontId="31" fillId="0" borderId="2" xfId="0" applyNumberFormat="1" applyFont="1" applyBorder="1" applyAlignment="1">
      <alignment horizontal="center" vertical="center" readingOrder="2"/>
    </xf>
    <xf numFmtId="1" fontId="31" fillId="15" borderId="2" xfId="0" applyNumberFormat="1" applyFont="1" applyFill="1" applyBorder="1" applyAlignment="1">
      <alignment horizontal="center" vertical="center" readingOrder="2"/>
    </xf>
    <xf numFmtId="1" fontId="31" fillId="31" borderId="2" xfId="0" applyNumberFormat="1" applyFont="1" applyFill="1" applyBorder="1" applyAlignment="1">
      <alignment horizontal="center" vertical="center" readingOrder="2"/>
    </xf>
    <xf numFmtId="0" fontId="32" fillId="0" borderId="2" xfId="0" applyFont="1" applyBorder="1" applyAlignment="1">
      <alignment horizontal="center" vertical="center" readingOrder="2"/>
    </xf>
    <xf numFmtId="0" fontId="31" fillId="24" borderId="2" xfId="0" applyFont="1" applyFill="1" applyBorder="1" applyAlignment="1">
      <alignment horizontal="center" vertical="center" readingOrder="2"/>
    </xf>
    <xf numFmtId="0" fontId="31" fillId="24" borderId="8" xfId="0" applyFont="1" applyFill="1" applyBorder="1" applyAlignment="1">
      <alignment horizontal="center" vertical="center" readingOrder="2"/>
    </xf>
    <xf numFmtId="1" fontId="31" fillId="15" borderId="9" xfId="0" applyNumberFormat="1" applyFont="1" applyFill="1" applyBorder="1" applyAlignment="1">
      <alignment horizontal="center" vertical="center" readingOrder="2"/>
    </xf>
    <xf numFmtId="1" fontId="31" fillId="7" borderId="2" xfId="0" applyNumberFormat="1" applyFont="1" applyFill="1" applyBorder="1" applyAlignment="1">
      <alignment horizontal="center" vertical="center" readingOrder="2"/>
    </xf>
    <xf numFmtId="1" fontId="31" fillId="16" borderId="9" xfId="0" applyNumberFormat="1" applyFont="1" applyFill="1" applyBorder="1" applyAlignment="1">
      <alignment horizontal="center" vertical="center" readingOrder="2"/>
    </xf>
    <xf numFmtId="165" fontId="31" fillId="7" borderId="2" xfId="0" applyNumberFormat="1" applyFont="1" applyFill="1" applyBorder="1" applyAlignment="1">
      <alignment horizontal="center" vertical="center" readingOrder="2"/>
    </xf>
    <xf numFmtId="0" fontId="17" fillId="26" borderId="29" xfId="0" applyFont="1" applyFill="1" applyBorder="1" applyAlignment="1">
      <alignment horizontal="center" vertical="center" wrapText="1" shrinkToFit="1" readingOrder="2"/>
    </xf>
    <xf numFmtId="0" fontId="36" fillId="34" borderId="53" xfId="0" applyFont="1" applyFill="1" applyBorder="1" applyAlignment="1">
      <alignment horizontal="center" readingOrder="2"/>
    </xf>
    <xf numFmtId="0" fontId="36" fillId="34" borderId="4" xfId="0" applyFont="1" applyFill="1" applyBorder="1" applyAlignment="1">
      <alignment horizontal="center" readingOrder="2"/>
    </xf>
    <xf numFmtId="0" fontId="36" fillId="34" borderId="52" xfId="0" applyFont="1" applyFill="1" applyBorder="1" applyAlignment="1">
      <alignment horizontal="center" readingOrder="2"/>
    </xf>
    <xf numFmtId="0" fontId="37" fillId="0" borderId="2" xfId="0" applyFont="1" applyBorder="1" applyAlignment="1">
      <alignment horizontal="center" vertical="center" readingOrder="1"/>
    </xf>
    <xf numFmtId="0" fontId="40" fillId="0" borderId="2" xfId="0" applyFont="1" applyBorder="1" applyAlignment="1">
      <alignment horizontal="center" vertical="center" readingOrder="1"/>
    </xf>
    <xf numFmtId="0" fontId="42" fillId="0" borderId="2" xfId="0" applyFont="1" applyBorder="1" applyAlignment="1">
      <alignment horizontal="center" vertical="center" readingOrder="2"/>
    </xf>
    <xf numFmtId="0" fontId="42" fillId="0" borderId="2" xfId="0" applyFont="1" applyBorder="1" applyAlignment="1">
      <alignment horizontal="center" vertical="center" readingOrder="1"/>
    </xf>
    <xf numFmtId="0" fontId="40" fillId="0" borderId="2" xfId="0" applyFont="1" applyBorder="1" applyAlignment="1">
      <alignment horizontal="center" vertical="center" readingOrder="2"/>
    </xf>
    <xf numFmtId="0" fontId="37" fillId="0" borderId="2" xfId="0" applyFont="1" applyBorder="1" applyAlignment="1">
      <alignment horizontal="center" vertical="center" readingOrder="2"/>
    </xf>
    <xf numFmtId="0" fontId="43" fillId="0" borderId="2" xfId="0" applyFont="1" applyBorder="1" applyAlignment="1">
      <alignment horizontal="center" vertical="center" readingOrder="1"/>
    </xf>
    <xf numFmtId="0" fontId="39" fillId="0" borderId="0" xfId="0" applyFont="1" applyAlignment="1">
      <alignment horizontal="center" vertical="center" readingOrder="1"/>
    </xf>
    <xf numFmtId="0" fontId="36" fillId="34" borderId="2" xfId="0" applyFont="1" applyFill="1" applyBorder="1" applyAlignment="1">
      <alignment horizontal="center" vertical="center" readingOrder="2"/>
    </xf>
    <xf numFmtId="0" fontId="44" fillId="0" borderId="2" xfId="0" applyFont="1" applyBorder="1" applyAlignment="1">
      <alignment horizontal="center" vertical="center" readingOrder="2"/>
    </xf>
    <xf numFmtId="0" fontId="45" fillId="35" borderId="0" xfId="0" applyFont="1" applyFill="1" applyAlignment="1">
      <alignment readingOrder="1"/>
    </xf>
    <xf numFmtId="0" fontId="45" fillId="0" borderId="0" xfId="0" applyFont="1" applyAlignment="1">
      <alignment readingOrder="1"/>
    </xf>
    <xf numFmtId="0" fontId="47" fillId="0" borderId="0" xfId="0" applyFont="1" applyAlignment="1">
      <alignment horizontal="center" vertical="center" readingOrder="1"/>
    </xf>
    <xf numFmtId="0" fontId="48" fillId="0" borderId="0" xfId="0" applyFont="1" applyAlignment="1">
      <alignment horizontal="center" readingOrder="2"/>
    </xf>
    <xf numFmtId="0" fontId="27" fillId="0" borderId="0" xfId="0" applyFont="1" applyAlignment="1">
      <alignment horizontal="center" readingOrder="2"/>
    </xf>
    <xf numFmtId="0" fontId="26" fillId="0" borderId="0" xfId="0" applyFont="1" applyAlignment="1">
      <alignment horizontal="center"/>
    </xf>
    <xf numFmtId="0" fontId="26" fillId="0" borderId="0" xfId="0" applyFont="1" applyAlignment="1">
      <alignment horizontal="center" readingOrder="2"/>
    </xf>
    <xf numFmtId="0" fontId="25" fillId="27" borderId="57" xfId="0" applyFont="1" applyFill="1" applyBorder="1" applyAlignment="1">
      <alignment horizontal="center" vertical="center" wrapText="1" readingOrder="2"/>
    </xf>
    <xf numFmtId="0" fontId="25" fillId="27" borderId="58" xfId="0" applyFont="1" applyFill="1" applyBorder="1" applyAlignment="1">
      <alignment horizontal="center" vertical="center" wrapText="1" readingOrder="2"/>
    </xf>
    <xf numFmtId="0" fontId="25" fillId="27" borderId="41" xfId="0" applyFont="1" applyFill="1" applyBorder="1" applyAlignment="1">
      <alignment horizontal="center" vertical="center" wrapText="1" readingOrder="2"/>
    </xf>
    <xf numFmtId="0" fontId="26" fillId="28" borderId="32" xfId="0" applyFont="1" applyFill="1" applyBorder="1" applyAlignment="1">
      <alignment horizontal="center" vertical="center"/>
    </xf>
    <xf numFmtId="0" fontId="42" fillId="37" borderId="2" xfId="0" applyFont="1" applyFill="1" applyBorder="1" applyAlignment="1">
      <alignment horizontal="center" vertical="center" readingOrder="2"/>
    </xf>
    <xf numFmtId="0" fontId="42" fillId="38" borderId="2" xfId="0" applyFont="1" applyFill="1" applyBorder="1" applyAlignment="1">
      <alignment horizontal="center" vertical="center" readingOrder="2"/>
    </xf>
    <xf numFmtId="0" fontId="42" fillId="17" borderId="2" xfId="0" applyFont="1" applyFill="1" applyBorder="1" applyAlignment="1">
      <alignment horizontal="center" vertical="center" readingOrder="2"/>
    </xf>
    <xf numFmtId="0" fontId="42" fillId="18" borderId="2" xfId="0" applyFont="1" applyFill="1" applyBorder="1" applyAlignment="1">
      <alignment horizontal="center" vertical="center" readingOrder="2"/>
    </xf>
    <xf numFmtId="0" fontId="42" fillId="0" borderId="2" xfId="0" applyFont="1" applyBorder="1" applyAlignment="1">
      <alignment horizontal="right" vertical="center" indent="1" readingOrder="2"/>
    </xf>
    <xf numFmtId="0" fontId="12" fillId="21" borderId="21" xfId="0" applyFont="1" applyFill="1" applyBorder="1" applyAlignment="1">
      <alignment horizontal="center" vertical="center" wrapText="1"/>
    </xf>
    <xf numFmtId="0" fontId="50" fillId="39" borderId="2" xfId="0" applyFont="1" applyFill="1" applyBorder="1" applyAlignment="1">
      <alignment horizontal="center" vertical="center" readingOrder="2"/>
    </xf>
    <xf numFmtId="0" fontId="0" fillId="6" borderId="2" xfId="0" applyFill="1" applyBorder="1"/>
    <xf numFmtId="0" fontId="51" fillId="0" borderId="2" xfId="0" applyFont="1" applyBorder="1" applyAlignment="1">
      <alignment horizontal="center" vertical="center" wrapText="1"/>
    </xf>
    <xf numFmtId="0" fontId="51" fillId="0" borderId="3" xfId="0" applyFont="1" applyBorder="1" applyAlignment="1">
      <alignment horizontal="center" vertical="center" wrapText="1"/>
    </xf>
    <xf numFmtId="0" fontId="7" fillId="0" borderId="2" xfId="0" applyFont="1" applyBorder="1" applyAlignment="1">
      <alignment horizontal="center" vertical="center"/>
    </xf>
    <xf numFmtId="2" fontId="51" fillId="0" borderId="2" xfId="0" applyNumberFormat="1" applyFont="1" applyBorder="1" applyAlignment="1">
      <alignment horizontal="center" vertical="center" wrapText="1"/>
    </xf>
    <xf numFmtId="2" fontId="51" fillId="0" borderId="3" xfId="0" applyNumberFormat="1" applyFont="1" applyBorder="1" applyAlignment="1">
      <alignment horizontal="center" vertical="center" wrapText="1"/>
    </xf>
    <xf numFmtId="2" fontId="22" fillId="0" borderId="32" xfId="0" applyNumberFormat="1" applyFont="1" applyBorder="1" applyAlignment="1">
      <alignment horizontal="center" vertical="center" wrapText="1"/>
    </xf>
    <xf numFmtId="2" fontId="22" fillId="0" borderId="2" xfId="0" applyNumberFormat="1" applyFont="1" applyBorder="1" applyAlignment="1">
      <alignment horizontal="center" vertical="center" wrapText="1"/>
    </xf>
    <xf numFmtId="0" fontId="5" fillId="6" borderId="2" xfId="0" applyFont="1" applyFill="1" applyBorder="1" applyAlignment="1">
      <alignment horizontal="center" vertical="center"/>
    </xf>
    <xf numFmtId="0" fontId="5" fillId="6" borderId="2" xfId="0" applyFont="1" applyFill="1" applyBorder="1" applyAlignment="1">
      <alignment horizontal="center" vertical="center" wrapText="1"/>
    </xf>
    <xf numFmtId="0" fontId="8" fillId="6" borderId="2" xfId="0" applyFont="1" applyFill="1" applyBorder="1" applyAlignment="1">
      <alignment horizontal="center" vertical="center"/>
    </xf>
    <xf numFmtId="0" fontId="53" fillId="35" borderId="2" xfId="0" applyFont="1" applyFill="1" applyBorder="1" applyAlignment="1">
      <alignment horizontal="center" vertical="center" readingOrder="1"/>
    </xf>
    <xf numFmtId="0" fontId="8" fillId="5" borderId="2" xfId="0" applyFont="1" applyFill="1" applyBorder="1" applyAlignment="1">
      <alignment horizontal="center" vertical="center"/>
    </xf>
    <xf numFmtId="2" fontId="9" fillId="0" borderId="59" xfId="0" applyNumberFormat="1" applyFont="1" applyBorder="1" applyAlignment="1">
      <alignment horizontal="center" vertical="center"/>
    </xf>
    <xf numFmtId="2" fontId="9" fillId="0" borderId="56" xfId="0" applyNumberFormat="1" applyFont="1" applyBorder="1" applyAlignment="1">
      <alignment horizontal="center" vertical="center"/>
    </xf>
    <xf numFmtId="0" fontId="55" fillId="20" borderId="2" xfId="0" applyFont="1" applyFill="1" applyBorder="1" applyAlignment="1">
      <alignment horizontal="center" vertical="center" wrapText="1" readingOrder="2"/>
    </xf>
    <xf numFmtId="0" fontId="55" fillId="20" borderId="65" xfId="0" applyFont="1" applyFill="1" applyBorder="1" applyAlignment="1">
      <alignment horizontal="center" vertical="center" wrapText="1" readingOrder="2"/>
    </xf>
    <xf numFmtId="0" fontId="56" fillId="9" borderId="4" xfId="0" applyFont="1" applyFill="1" applyBorder="1" applyAlignment="1">
      <alignment horizontal="center" vertical="center" wrapText="1" readingOrder="2"/>
    </xf>
    <xf numFmtId="0" fontId="55" fillId="9" borderId="4" xfId="0" applyFont="1" applyFill="1" applyBorder="1" applyAlignment="1">
      <alignment horizontal="center" vertical="center" wrapText="1" readingOrder="2"/>
    </xf>
    <xf numFmtId="0" fontId="0" fillId="9" borderId="4" xfId="0" applyFill="1" applyBorder="1"/>
    <xf numFmtId="0" fontId="56" fillId="9" borderId="2" xfId="0" applyFont="1" applyFill="1" applyBorder="1" applyAlignment="1">
      <alignment horizontal="center" vertical="center" wrapText="1" readingOrder="2"/>
    </xf>
    <xf numFmtId="0" fontId="55" fillId="9" borderId="2" xfId="0" applyFont="1" applyFill="1" applyBorder="1" applyAlignment="1">
      <alignment horizontal="center" vertical="center" wrapText="1" readingOrder="2"/>
    </xf>
    <xf numFmtId="0" fontId="57" fillId="9" borderId="2" xfId="0" applyFont="1" applyFill="1" applyBorder="1" applyAlignment="1">
      <alignment horizontal="center" vertical="center" wrapText="1" readingOrder="2"/>
    </xf>
    <xf numFmtId="0" fontId="0" fillId="9" borderId="2" xfId="0" applyFill="1" applyBorder="1"/>
    <xf numFmtId="0" fontId="56" fillId="9" borderId="61" xfId="0" applyFont="1" applyFill="1" applyBorder="1" applyAlignment="1">
      <alignment horizontal="center" vertical="center" wrapText="1" readingOrder="2"/>
    </xf>
    <xf numFmtId="0" fontId="55" fillId="9" borderId="61" xfId="0" applyFont="1" applyFill="1" applyBorder="1" applyAlignment="1">
      <alignment horizontal="center" vertical="center" wrapText="1" readingOrder="2"/>
    </xf>
    <xf numFmtId="0" fontId="0" fillId="9" borderId="61" xfId="0" applyFill="1" applyBorder="1"/>
    <xf numFmtId="0" fontId="56" fillId="45" borderId="4" xfId="0" applyFont="1" applyFill="1" applyBorder="1" applyAlignment="1">
      <alignment horizontal="center" vertical="center" wrapText="1" readingOrder="2"/>
    </xf>
    <xf numFmtId="0" fontId="55" fillId="45" borderId="4" xfId="0" applyFont="1" applyFill="1" applyBorder="1" applyAlignment="1">
      <alignment horizontal="center" vertical="center" wrapText="1" readingOrder="2"/>
    </xf>
    <xf numFmtId="0" fontId="57" fillId="45" borderId="4" xfId="0" applyFont="1" applyFill="1" applyBorder="1" applyAlignment="1">
      <alignment horizontal="center" vertical="center" wrapText="1" readingOrder="2"/>
    </xf>
    <xf numFmtId="0" fontId="0" fillId="45" borderId="4" xfId="0" applyFill="1" applyBorder="1"/>
    <xf numFmtId="0" fontId="56" fillId="45" borderId="2" xfId="0" applyFont="1" applyFill="1" applyBorder="1" applyAlignment="1">
      <alignment horizontal="center" vertical="center" wrapText="1" readingOrder="2"/>
    </xf>
    <xf numFmtId="0" fontId="55" fillId="45" borderId="2" xfId="0" applyFont="1" applyFill="1" applyBorder="1" applyAlignment="1">
      <alignment horizontal="center" vertical="center" wrapText="1" readingOrder="2"/>
    </xf>
    <xf numFmtId="0" fontId="57" fillId="45" borderId="2" xfId="0" applyFont="1" applyFill="1" applyBorder="1" applyAlignment="1">
      <alignment horizontal="center" vertical="center" wrapText="1" readingOrder="2"/>
    </xf>
    <xf numFmtId="0" fontId="0" fillId="45" borderId="2" xfId="0" applyFill="1" applyBorder="1"/>
    <xf numFmtId="0" fontId="56" fillId="45" borderId="61" xfId="0" applyFont="1" applyFill="1" applyBorder="1" applyAlignment="1">
      <alignment horizontal="center" vertical="center" wrapText="1" readingOrder="2"/>
    </xf>
    <xf numFmtId="0" fontId="55" fillId="45" borderId="61" xfId="0" applyFont="1" applyFill="1" applyBorder="1" applyAlignment="1">
      <alignment horizontal="center" vertical="center" wrapText="1" readingOrder="2"/>
    </xf>
    <xf numFmtId="0" fontId="57" fillId="45" borderId="61" xfId="0" applyFont="1" applyFill="1" applyBorder="1" applyAlignment="1">
      <alignment horizontal="center" vertical="center" wrapText="1" readingOrder="2"/>
    </xf>
    <xf numFmtId="0" fontId="0" fillId="45" borderId="61" xfId="0" applyFill="1" applyBorder="1"/>
    <xf numFmtId="0" fontId="56" fillId="46" borderId="2" xfId="0" applyFont="1" applyFill="1" applyBorder="1" applyAlignment="1">
      <alignment horizontal="center" vertical="center" wrapText="1" readingOrder="2"/>
    </xf>
    <xf numFmtId="0" fontId="55" fillId="46" borderId="2" xfId="0" applyFont="1" applyFill="1" applyBorder="1" applyAlignment="1">
      <alignment horizontal="center" vertical="center" wrapText="1" readingOrder="2"/>
    </xf>
    <xf numFmtId="0" fontId="0" fillId="46" borderId="2" xfId="0" applyFill="1" applyBorder="1"/>
    <xf numFmtId="0" fontId="56" fillId="46" borderId="61" xfId="0" applyFont="1" applyFill="1" applyBorder="1" applyAlignment="1">
      <alignment horizontal="center" vertical="center" wrapText="1" readingOrder="2"/>
    </xf>
    <xf numFmtId="0" fontId="55" fillId="46" borderId="61" xfId="0" applyFont="1" applyFill="1" applyBorder="1" applyAlignment="1">
      <alignment horizontal="center" vertical="center" wrapText="1" readingOrder="2"/>
    </xf>
    <xf numFmtId="0" fontId="0" fillId="46" borderId="61" xfId="0" applyFill="1" applyBorder="1"/>
    <xf numFmtId="0" fontId="0" fillId="46" borderId="65" xfId="0" applyFill="1" applyBorder="1" applyAlignment="1">
      <alignment horizontal="center" vertical="center"/>
    </xf>
    <xf numFmtId="0" fontId="0" fillId="46" borderId="64" xfId="0" applyFill="1" applyBorder="1" applyAlignment="1">
      <alignment horizontal="center" vertical="center"/>
    </xf>
    <xf numFmtId="0" fontId="0" fillId="9" borderId="66" xfId="0" applyFill="1" applyBorder="1" applyAlignment="1">
      <alignment horizontal="center" vertical="center"/>
    </xf>
    <xf numFmtId="0" fontId="0" fillId="9" borderId="64" xfId="0" applyFill="1" applyBorder="1" applyAlignment="1">
      <alignment horizontal="center" vertical="center"/>
    </xf>
    <xf numFmtId="0" fontId="0" fillId="45" borderId="66" xfId="0" applyFill="1" applyBorder="1" applyAlignment="1">
      <alignment horizontal="center" vertical="center"/>
    </xf>
    <xf numFmtId="0" fontId="0" fillId="45" borderId="64" xfId="0" applyFill="1" applyBorder="1" applyAlignment="1">
      <alignment horizontal="center" vertical="center"/>
    </xf>
    <xf numFmtId="0" fontId="8" fillId="5" borderId="2" xfId="0" applyFont="1" applyFill="1" applyBorder="1" applyAlignment="1">
      <alignment horizontal="center" vertical="center" readingOrder="2"/>
    </xf>
    <xf numFmtId="0" fontId="8" fillId="5" borderId="2" xfId="0" applyFont="1" applyFill="1" applyBorder="1" applyAlignment="1">
      <alignment horizontal="center" vertical="center" wrapText="1" readingOrder="2"/>
    </xf>
    <xf numFmtId="0" fontId="8" fillId="47" borderId="2" xfId="0" applyFont="1" applyFill="1" applyBorder="1" applyAlignment="1">
      <alignment horizontal="center" vertical="center" readingOrder="2"/>
    </xf>
    <xf numFmtId="0" fontId="7" fillId="47" borderId="2" xfId="0" applyFont="1" applyFill="1" applyBorder="1" applyAlignment="1">
      <alignment horizontal="center" vertical="center" readingOrder="2"/>
    </xf>
    <xf numFmtId="0" fontId="8" fillId="49" borderId="2" xfId="0" applyFont="1" applyFill="1" applyBorder="1" applyAlignment="1">
      <alignment horizontal="center" vertical="center" readingOrder="2"/>
    </xf>
    <xf numFmtId="0" fontId="7" fillId="49" borderId="2" xfId="0" applyFont="1" applyFill="1" applyBorder="1" applyAlignment="1">
      <alignment horizontal="center" vertical="center" readingOrder="2"/>
    </xf>
    <xf numFmtId="0" fontId="0" fillId="5" borderId="2" xfId="0" applyFill="1" applyBorder="1"/>
    <xf numFmtId="0" fontId="6" fillId="0" borderId="2" xfId="0" applyFont="1" applyBorder="1" applyAlignment="1">
      <alignment horizontal="center" vertical="center" wrapText="1"/>
    </xf>
    <xf numFmtId="0" fontId="8" fillId="15"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5" fillId="11" borderId="2" xfId="0" applyFont="1" applyFill="1" applyBorder="1" applyAlignment="1">
      <alignment horizontal="center" vertical="center"/>
    </xf>
    <xf numFmtId="0" fontId="27" fillId="28" borderId="32" xfId="0" applyFont="1" applyFill="1" applyBorder="1" applyAlignment="1">
      <alignment horizontal="center" vertical="center" readingOrder="2"/>
    </xf>
    <xf numFmtId="0" fontId="5" fillId="51" borderId="2" xfId="0" applyFont="1" applyFill="1" applyBorder="1" applyAlignment="1">
      <alignment horizontal="center" vertical="center"/>
    </xf>
    <xf numFmtId="0" fontId="5" fillId="40" borderId="2" xfId="0" applyFont="1" applyFill="1" applyBorder="1" applyAlignment="1">
      <alignment horizontal="center" vertical="center"/>
    </xf>
    <xf numFmtId="0" fontId="7" fillId="13" borderId="2" xfId="0" applyFont="1" applyFill="1" applyBorder="1" applyAlignment="1">
      <alignment horizontal="center" vertical="center"/>
    </xf>
    <xf numFmtId="0" fontId="7" fillId="5" borderId="2" xfId="0" applyFont="1" applyFill="1" applyBorder="1" applyAlignment="1">
      <alignment horizontal="center" vertical="center" readingOrder="2"/>
    </xf>
    <xf numFmtId="0" fontId="7" fillId="42" borderId="2" xfId="0" applyFont="1" applyFill="1" applyBorder="1" applyAlignment="1">
      <alignment horizontal="center" vertical="center"/>
    </xf>
    <xf numFmtId="0" fontId="53" fillId="41" borderId="2" xfId="0" applyFont="1" applyFill="1" applyBorder="1" applyAlignment="1">
      <alignment horizontal="center" vertical="center" readingOrder="1"/>
    </xf>
    <xf numFmtId="1" fontId="7" fillId="0" borderId="2" xfId="0" applyNumberFormat="1" applyFont="1" applyBorder="1" applyAlignment="1">
      <alignment horizontal="center" vertical="center"/>
    </xf>
    <xf numFmtId="1" fontId="7" fillId="42" borderId="2" xfId="0" applyNumberFormat="1" applyFont="1" applyFill="1" applyBorder="1" applyAlignment="1">
      <alignment horizontal="center" vertical="center"/>
    </xf>
    <xf numFmtId="1" fontId="6" fillId="42" borderId="2" xfId="0" applyNumberFormat="1" applyFont="1" applyFill="1" applyBorder="1" applyAlignment="1">
      <alignment horizontal="center" vertical="center"/>
    </xf>
    <xf numFmtId="0" fontId="6" fillId="42" borderId="2" xfId="0" applyFont="1" applyFill="1" applyBorder="1" applyAlignment="1">
      <alignment horizontal="center" vertical="center"/>
    </xf>
    <xf numFmtId="0" fontId="53" fillId="0" borderId="2" xfId="0" applyFont="1" applyBorder="1" applyAlignment="1">
      <alignment horizontal="center" vertical="center" readingOrder="1"/>
    </xf>
    <xf numFmtId="1" fontId="53" fillId="35" borderId="2" xfId="0" applyNumberFormat="1" applyFont="1" applyFill="1" applyBorder="1" applyAlignment="1">
      <alignment horizontal="center" vertical="center" readingOrder="1"/>
    </xf>
    <xf numFmtId="1" fontId="53" fillId="43" borderId="2" xfId="0" applyNumberFormat="1" applyFont="1" applyFill="1" applyBorder="1" applyAlignment="1">
      <alignment horizontal="center" vertical="center" readingOrder="1"/>
    </xf>
    <xf numFmtId="0" fontId="8" fillId="0" borderId="0" xfId="0" applyFont="1" applyAlignment="1">
      <alignment horizontal="center" vertical="center"/>
    </xf>
    <xf numFmtId="2" fontId="7" fillId="0" borderId="0" xfId="0" applyNumberFormat="1" applyFont="1" applyAlignment="1">
      <alignment horizontal="center" vertical="center"/>
    </xf>
    <xf numFmtId="0" fontId="8" fillId="42" borderId="2" xfId="0" applyFont="1" applyFill="1" applyBorder="1" applyAlignment="1">
      <alignment horizontal="center" vertical="center"/>
    </xf>
    <xf numFmtId="1" fontId="14" fillId="23" borderId="22" xfId="0" applyNumberFormat="1" applyFont="1" applyFill="1" applyBorder="1" applyAlignment="1">
      <alignment horizontal="center" vertical="center" wrapText="1" readingOrder="2"/>
    </xf>
    <xf numFmtId="1" fontId="14" fillId="20" borderId="22" xfId="0" applyNumberFormat="1" applyFont="1" applyFill="1" applyBorder="1" applyAlignment="1">
      <alignment horizontal="center" vertical="center" wrapText="1" readingOrder="2"/>
    </xf>
    <xf numFmtId="0" fontId="36" fillId="34" borderId="10" xfId="0" applyFont="1" applyFill="1" applyBorder="1" applyAlignment="1">
      <alignment horizontal="center" vertical="center" readingOrder="2"/>
    </xf>
    <xf numFmtId="0" fontId="40" fillId="0" borderId="10" xfId="0" applyFont="1" applyBorder="1" applyAlignment="1">
      <alignment horizontal="center" vertical="center" readingOrder="1"/>
    </xf>
    <xf numFmtId="0" fontId="10" fillId="0" borderId="0" xfId="0" applyFont="1" applyAlignment="1">
      <alignment horizontal="center" vertical="center"/>
    </xf>
    <xf numFmtId="0" fontId="5" fillId="0" borderId="0" xfId="0" applyFont="1" applyAlignment="1">
      <alignment horizontal="center" vertical="center"/>
    </xf>
    <xf numFmtId="0" fontId="40" fillId="0" borderId="56" xfId="0" applyFont="1" applyBorder="1" applyAlignment="1">
      <alignment horizontal="center" vertical="center" readingOrder="1"/>
    </xf>
    <xf numFmtId="0" fontId="43" fillId="0" borderId="2" xfId="0" applyFont="1" applyBorder="1" applyAlignment="1">
      <alignment horizontal="center" vertical="center" readingOrder="2"/>
    </xf>
    <xf numFmtId="0" fontId="39" fillId="0" borderId="17" xfId="0" applyFont="1" applyBorder="1" applyAlignment="1">
      <alignment horizontal="center" vertical="center" wrapText="1" readingOrder="2"/>
    </xf>
    <xf numFmtId="0" fontId="38" fillId="0" borderId="2" xfId="0" applyFont="1" applyBorder="1" applyAlignment="1">
      <alignment horizontal="center" vertical="center" readingOrder="2"/>
    </xf>
    <xf numFmtId="0" fontId="43" fillId="0" borderId="10" xfId="0" applyFont="1" applyBorder="1" applyAlignment="1">
      <alignment horizontal="center" vertical="center" readingOrder="1"/>
    </xf>
    <xf numFmtId="0" fontId="37" fillId="0" borderId="2" xfId="0" applyFont="1" applyBorder="1" applyAlignment="1">
      <alignment horizontal="center" vertical="center" wrapText="1" readingOrder="2"/>
    </xf>
    <xf numFmtId="0" fontId="41" fillId="0" borderId="2" xfId="0" applyFont="1" applyBorder="1" applyAlignment="1">
      <alignment readingOrder="1"/>
    </xf>
    <xf numFmtId="166" fontId="47" fillId="0" borderId="2" xfId="0" applyNumberFormat="1" applyFont="1" applyBorder="1" applyAlignment="1">
      <alignment horizontal="center" vertical="center" readingOrder="2"/>
    </xf>
    <xf numFmtId="49" fontId="33" fillId="32" borderId="76" xfId="0" applyNumberFormat="1" applyFont="1" applyFill="1" applyBorder="1" applyAlignment="1">
      <alignment horizontal="center" vertical="center" readingOrder="1"/>
    </xf>
    <xf numFmtId="14" fontId="33" fillId="32" borderId="76" xfId="0" applyNumberFormat="1" applyFont="1" applyFill="1" applyBorder="1" applyAlignment="1">
      <alignment horizontal="center" vertical="center" readingOrder="1"/>
    </xf>
    <xf numFmtId="0" fontId="33" fillId="32" borderId="76" xfId="0" applyFont="1" applyFill="1" applyBorder="1" applyAlignment="1">
      <alignment horizontal="center" vertical="center" readingOrder="1"/>
    </xf>
    <xf numFmtId="0" fontId="0" fillId="53" borderId="33" xfId="0" applyFill="1" applyBorder="1"/>
    <xf numFmtId="0" fontId="0" fillId="53" borderId="34" xfId="0" applyFill="1" applyBorder="1"/>
    <xf numFmtId="0" fontId="0" fillId="53" borderId="36" xfId="0" applyFill="1" applyBorder="1"/>
    <xf numFmtId="0" fontId="0" fillId="53" borderId="0" xfId="0" applyFill="1"/>
    <xf numFmtId="0" fontId="0" fillId="53" borderId="38" xfId="0" applyFill="1" applyBorder="1"/>
    <xf numFmtId="0" fontId="0" fillId="53" borderId="39" xfId="0" applyFill="1" applyBorder="1"/>
    <xf numFmtId="0" fontId="42" fillId="3" borderId="2" xfId="0" applyFont="1" applyFill="1" applyBorder="1" applyAlignment="1">
      <alignment horizontal="center" vertical="center" readingOrder="2"/>
    </xf>
    <xf numFmtId="167" fontId="37" fillId="0" borderId="2" xfId="0" applyNumberFormat="1" applyFont="1" applyBorder="1" applyAlignment="1">
      <alignment horizontal="center" vertical="center" readingOrder="1"/>
    </xf>
    <xf numFmtId="0" fontId="7" fillId="54" borderId="2" xfId="0" applyFont="1" applyFill="1" applyBorder="1" applyAlignment="1">
      <alignment horizontal="center" vertical="center"/>
    </xf>
    <xf numFmtId="0" fontId="40" fillId="0" borderId="55" xfId="0" applyFont="1" applyBorder="1" applyAlignment="1">
      <alignment readingOrder="1"/>
    </xf>
    <xf numFmtId="0" fontId="42" fillId="0" borderId="8" xfId="0" applyFont="1" applyBorder="1" applyAlignment="1">
      <alignment horizontal="right" vertical="center" indent="1" readingOrder="2"/>
    </xf>
    <xf numFmtId="0" fontId="47" fillId="35" borderId="0" xfId="0" applyFont="1" applyFill="1" applyAlignment="1">
      <alignment readingOrder="1"/>
    </xf>
    <xf numFmtId="0" fontId="47" fillId="0" borderId="0" xfId="0" applyFont="1" applyAlignment="1">
      <alignment readingOrder="1"/>
    </xf>
    <xf numFmtId="0" fontId="7" fillId="0" borderId="0" xfId="0" applyFont="1"/>
    <xf numFmtId="0" fontId="65" fillId="0" borderId="2" xfId="0" applyFont="1" applyBorder="1" applyAlignment="1">
      <alignment horizontal="center" vertical="center" wrapText="1" readingOrder="2"/>
    </xf>
    <xf numFmtId="0" fontId="66" fillId="0" borderId="2" xfId="0" applyFont="1" applyBorder="1" applyAlignment="1">
      <alignment horizontal="center" vertical="center" readingOrder="2"/>
    </xf>
    <xf numFmtId="0" fontId="67" fillId="0" borderId="2" xfId="0" applyFont="1" applyBorder="1" applyAlignment="1">
      <alignment horizontal="center" vertical="center" readingOrder="2"/>
    </xf>
    <xf numFmtId="0" fontId="66" fillId="3" borderId="2" xfId="0" applyFont="1" applyFill="1" applyBorder="1" applyAlignment="1">
      <alignment horizontal="center" vertical="center" readingOrder="2"/>
    </xf>
    <xf numFmtId="0" fontId="40" fillId="0" borderId="6" xfId="0" applyFont="1" applyBorder="1" applyAlignment="1">
      <alignment horizontal="center" vertical="center" readingOrder="1"/>
    </xf>
    <xf numFmtId="0" fontId="40" fillId="0" borderId="6" xfId="0" applyFont="1" applyBorder="1" applyAlignment="1">
      <alignment horizontal="center" vertical="center" readingOrder="2"/>
    </xf>
    <xf numFmtId="1" fontId="38" fillId="0" borderId="9" xfId="0" applyNumberFormat="1" applyFont="1" applyBorder="1" applyAlignment="1">
      <alignment horizontal="center" vertical="center" readingOrder="1"/>
    </xf>
    <xf numFmtId="1" fontId="61" fillId="0" borderId="56" xfId="0" applyNumberFormat="1" applyFont="1" applyBorder="1" applyAlignment="1">
      <alignment horizontal="center" vertical="center" readingOrder="1"/>
    </xf>
    <xf numFmtId="1" fontId="61" fillId="0" borderId="2" xfId="0" applyNumberFormat="1" applyFont="1" applyBorder="1" applyAlignment="1">
      <alignment horizontal="center" vertical="center" readingOrder="1"/>
    </xf>
    <xf numFmtId="0" fontId="71" fillId="55" borderId="78" xfId="13" applyFont="1" applyFill="1" applyBorder="1" applyAlignment="1">
      <alignment horizontal="center" vertical="center" wrapText="1" readingOrder="2"/>
    </xf>
    <xf numFmtId="0" fontId="72" fillId="3" borderId="78" xfId="13" applyFont="1" applyFill="1" applyBorder="1" applyAlignment="1">
      <alignment horizontal="center" vertical="center" wrapText="1" readingOrder="2"/>
    </xf>
    <xf numFmtId="0" fontId="71" fillId="56" borderId="78" xfId="13" applyFont="1" applyFill="1" applyBorder="1" applyAlignment="1">
      <alignment horizontal="center" vertical="center" wrapText="1" readingOrder="2"/>
    </xf>
    <xf numFmtId="0" fontId="10" fillId="0" borderId="0" xfId="13" applyAlignment="1">
      <alignment horizontal="center" vertical="center"/>
    </xf>
    <xf numFmtId="0" fontId="73" fillId="57" borderId="78" xfId="13" applyFont="1" applyFill="1" applyBorder="1" applyAlignment="1">
      <alignment horizontal="center" vertical="center" wrapText="1" readingOrder="2"/>
    </xf>
    <xf numFmtId="49" fontId="73" fillId="57" borderId="78" xfId="13" applyNumberFormat="1" applyFont="1" applyFill="1" applyBorder="1" applyAlignment="1">
      <alignment horizontal="center" vertical="center" wrapText="1" readingOrder="2"/>
    </xf>
    <xf numFmtId="14" fontId="73" fillId="57" borderId="78" xfId="13" applyNumberFormat="1" applyFont="1" applyFill="1" applyBorder="1" applyAlignment="1">
      <alignment horizontal="center" vertical="center" wrapText="1" readingOrder="2"/>
    </xf>
    <xf numFmtId="168" fontId="73" fillId="57" borderId="78" xfId="13" applyNumberFormat="1" applyFont="1" applyFill="1" applyBorder="1" applyAlignment="1">
      <alignment horizontal="center" vertical="center" wrapText="1" readingOrder="2"/>
    </xf>
    <xf numFmtId="0" fontId="73" fillId="0" borderId="78" xfId="13" applyFont="1" applyBorder="1" applyAlignment="1">
      <alignment horizontal="center" vertical="center" wrapText="1" readingOrder="2"/>
    </xf>
    <xf numFmtId="49" fontId="73" fillId="0" borderId="78" xfId="13" applyNumberFormat="1" applyFont="1" applyBorder="1" applyAlignment="1">
      <alignment horizontal="center" vertical="center" wrapText="1" readingOrder="2"/>
    </xf>
    <xf numFmtId="14" fontId="73" fillId="0" borderId="78" xfId="13" applyNumberFormat="1" applyFont="1" applyBorder="1" applyAlignment="1">
      <alignment horizontal="center" vertical="center" wrapText="1" readingOrder="2"/>
    </xf>
    <xf numFmtId="168" fontId="73" fillId="0" borderId="78" xfId="13" applyNumberFormat="1" applyFont="1" applyBorder="1" applyAlignment="1">
      <alignment horizontal="center" vertical="center" wrapText="1" readingOrder="2"/>
    </xf>
    <xf numFmtId="0" fontId="73" fillId="25" borderId="78" xfId="13" applyFont="1" applyFill="1" applyBorder="1" applyAlignment="1">
      <alignment horizontal="center" vertical="center" wrapText="1" readingOrder="2"/>
    </xf>
    <xf numFmtId="49" fontId="73" fillId="25" borderId="78" xfId="13" applyNumberFormat="1" applyFont="1" applyFill="1" applyBorder="1" applyAlignment="1">
      <alignment horizontal="center" vertical="center" wrapText="1" readingOrder="2"/>
    </xf>
    <xf numFmtId="49" fontId="73" fillId="3" borderId="78" xfId="13" applyNumberFormat="1" applyFont="1" applyFill="1" applyBorder="1" applyAlignment="1">
      <alignment horizontal="center" vertical="center" wrapText="1" readingOrder="2"/>
    </xf>
    <xf numFmtId="0" fontId="73" fillId="25" borderId="79" xfId="13" applyFont="1" applyFill="1" applyBorder="1" applyAlignment="1">
      <alignment horizontal="center" vertical="center" wrapText="1" readingOrder="2"/>
    </xf>
    <xf numFmtId="49" fontId="73" fillId="25" borderId="79" xfId="13" applyNumberFormat="1" applyFont="1" applyFill="1" applyBorder="1" applyAlignment="1">
      <alignment horizontal="center" vertical="center" wrapText="1" readingOrder="2"/>
    </xf>
    <xf numFmtId="49" fontId="73" fillId="3" borderId="79" xfId="13" applyNumberFormat="1" applyFont="1" applyFill="1" applyBorder="1" applyAlignment="1">
      <alignment horizontal="center" vertical="center" wrapText="1" readingOrder="2"/>
    </xf>
    <xf numFmtId="0" fontId="73" fillId="58" borderId="2" xfId="13" applyFont="1" applyFill="1" applyBorder="1" applyAlignment="1">
      <alignment horizontal="center" vertical="center" wrapText="1" readingOrder="2"/>
    </xf>
    <xf numFmtId="0" fontId="10" fillId="58" borderId="2" xfId="13" applyFill="1" applyBorder="1" applyAlignment="1">
      <alignment horizontal="center" vertical="center"/>
    </xf>
    <xf numFmtId="0" fontId="10" fillId="3" borderId="2" xfId="13" applyFill="1" applyBorder="1" applyAlignment="1">
      <alignment horizontal="center" vertical="center"/>
    </xf>
    <xf numFmtId="14" fontId="73" fillId="3" borderId="78" xfId="13" applyNumberFormat="1" applyFont="1" applyFill="1" applyBorder="1" applyAlignment="1">
      <alignment horizontal="center" vertical="center" wrapText="1" readingOrder="2"/>
    </xf>
    <xf numFmtId="0" fontId="3" fillId="0" borderId="0" xfId="14"/>
    <xf numFmtId="0" fontId="7" fillId="0" borderId="4" xfId="14" applyFont="1" applyBorder="1" applyAlignment="1">
      <alignment horizontal="center" vertical="center"/>
    </xf>
    <xf numFmtId="0" fontId="54" fillId="0" borderId="10" xfId="0" applyFont="1" applyBorder="1" applyAlignment="1">
      <alignment horizontal="center" vertical="center" readingOrder="1"/>
    </xf>
    <xf numFmtId="0" fontId="68" fillId="0" borderId="2" xfId="0" applyFont="1" applyBorder="1" applyAlignment="1">
      <alignment horizontal="center" vertical="center" readingOrder="2"/>
    </xf>
    <xf numFmtId="0" fontId="54" fillId="0" borderId="2" xfId="0" applyFont="1" applyBorder="1" applyAlignment="1">
      <alignment horizontal="center" vertical="center" readingOrder="1"/>
    </xf>
    <xf numFmtId="0" fontId="69" fillId="0" borderId="2" xfId="0" applyFont="1" applyBorder="1" applyAlignment="1">
      <alignment horizontal="center" vertical="center" readingOrder="2"/>
    </xf>
    <xf numFmtId="0" fontId="70" fillId="0" borderId="2" xfId="0" applyFont="1" applyBorder="1" applyAlignment="1">
      <alignment horizontal="center" vertical="center" readingOrder="2"/>
    </xf>
    <xf numFmtId="0" fontId="47" fillId="0" borderId="2" xfId="0" applyFont="1" applyBorder="1" applyAlignment="1">
      <alignment horizontal="center" vertical="center" readingOrder="2"/>
    </xf>
    <xf numFmtId="0" fontId="62" fillId="0" borderId="2" xfId="0" applyFont="1" applyBorder="1" applyAlignment="1">
      <alignment horizontal="center" vertical="center" readingOrder="1"/>
    </xf>
    <xf numFmtId="0" fontId="53" fillId="3" borderId="2" xfId="0" applyFont="1" applyFill="1" applyBorder="1" applyAlignment="1">
      <alignment horizontal="center" vertical="center" readingOrder="1"/>
    </xf>
    <xf numFmtId="0" fontId="62" fillId="0" borderId="2" xfId="0" applyFont="1" applyBorder="1" applyAlignment="1">
      <alignment horizontal="center" vertical="center" readingOrder="2"/>
    </xf>
    <xf numFmtId="0" fontId="76" fillId="0" borderId="77" xfId="0" applyFont="1" applyBorder="1" applyAlignment="1">
      <alignment horizontal="center" vertical="center" readingOrder="2"/>
    </xf>
    <xf numFmtId="0" fontId="76" fillId="0" borderId="77" xfId="0" applyFont="1" applyBorder="1" applyAlignment="1">
      <alignment horizontal="center" vertical="center" readingOrder="1"/>
    </xf>
    <xf numFmtId="0" fontId="75" fillId="0" borderId="77" xfId="0" applyFont="1" applyBorder="1" applyAlignment="1">
      <alignment horizontal="center" vertical="center" readingOrder="2"/>
    </xf>
    <xf numFmtId="0" fontId="76" fillId="59" borderId="77" xfId="0" applyFont="1" applyFill="1" applyBorder="1" applyAlignment="1">
      <alignment horizontal="center" vertical="center" readingOrder="2"/>
    </xf>
    <xf numFmtId="0" fontId="10" fillId="44" borderId="2" xfId="0" applyFont="1" applyFill="1" applyBorder="1" applyAlignment="1">
      <alignment horizontal="center" vertical="center"/>
    </xf>
    <xf numFmtId="0" fontId="0" fillId="44" borderId="0" xfId="0" applyFill="1"/>
    <xf numFmtId="0" fontId="49" fillId="44" borderId="4" xfId="0" applyFont="1" applyFill="1" applyBorder="1" applyAlignment="1">
      <alignment horizontal="center" vertical="center" readingOrder="2"/>
    </xf>
    <xf numFmtId="0" fontId="0" fillId="4" borderId="0" xfId="0" applyFill="1"/>
    <xf numFmtId="1" fontId="38" fillId="0" borderId="2" xfId="0" applyNumberFormat="1" applyFont="1" applyBorder="1" applyAlignment="1">
      <alignment horizontal="center" vertical="center" readingOrder="1"/>
    </xf>
    <xf numFmtId="1" fontId="38" fillId="38" borderId="2" xfId="0" applyNumberFormat="1" applyFont="1" applyFill="1" applyBorder="1" applyAlignment="1">
      <alignment horizontal="center" vertical="center" readingOrder="1"/>
    </xf>
    <xf numFmtId="1" fontId="5" fillId="38" borderId="2" xfId="0" applyNumberFormat="1" applyFont="1" applyFill="1" applyBorder="1" applyAlignment="1">
      <alignment horizontal="center" vertical="center" wrapText="1"/>
    </xf>
    <xf numFmtId="1" fontId="5" fillId="17" borderId="4" xfId="0" applyNumberFormat="1" applyFont="1" applyFill="1" applyBorder="1" applyAlignment="1">
      <alignment horizontal="center" vertical="center" wrapText="1"/>
    </xf>
    <xf numFmtId="1" fontId="5" fillId="18" borderId="4" xfId="0" applyNumberFormat="1" applyFont="1" applyFill="1" applyBorder="1" applyAlignment="1">
      <alignment horizontal="center" vertical="center" wrapText="1"/>
    </xf>
    <xf numFmtId="2" fontId="7" fillId="0" borderId="0" xfId="0" applyNumberFormat="1" applyFont="1" applyAlignment="1">
      <alignment vertical="center"/>
    </xf>
    <xf numFmtId="1" fontId="7" fillId="52" borderId="2" xfId="0" applyNumberFormat="1" applyFont="1" applyFill="1" applyBorder="1" applyAlignment="1">
      <alignment horizontal="center" vertical="center"/>
    </xf>
    <xf numFmtId="1" fontId="7" fillId="6" borderId="2" xfId="0" applyNumberFormat="1" applyFont="1" applyFill="1" applyBorder="1" applyAlignment="1">
      <alignment vertical="center"/>
    </xf>
    <xf numFmtId="2" fontId="7" fillId="6" borderId="2" xfId="0" applyNumberFormat="1" applyFont="1" applyFill="1" applyBorder="1" applyAlignment="1">
      <alignment vertical="center"/>
    </xf>
    <xf numFmtId="0" fontId="77" fillId="0" borderId="2" xfId="0" applyFont="1" applyBorder="1" applyAlignment="1">
      <alignment horizontal="center" vertical="center"/>
    </xf>
    <xf numFmtId="0" fontId="77" fillId="0" borderId="6" xfId="0" applyFont="1" applyBorder="1" applyAlignment="1">
      <alignment horizontal="center" vertical="center"/>
    </xf>
    <xf numFmtId="1" fontId="8" fillId="0" borderId="2" xfId="0" applyNumberFormat="1" applyFont="1" applyBorder="1" applyAlignment="1">
      <alignment horizontal="center" vertical="center"/>
    </xf>
    <xf numFmtId="0" fontId="78" fillId="0" borderId="2" xfId="0" applyFont="1" applyBorder="1" applyAlignment="1">
      <alignment horizontal="center" vertical="center" readingOrder="1"/>
    </xf>
    <xf numFmtId="0" fontId="79" fillId="0" borderId="2" xfId="0" applyFont="1" applyBorder="1" applyAlignment="1">
      <alignment horizontal="center" vertical="center" readingOrder="2"/>
    </xf>
    <xf numFmtId="0" fontId="80" fillId="0" borderId="2" xfId="0" applyFont="1" applyBorder="1" applyAlignment="1">
      <alignment horizontal="center" vertical="center" readingOrder="2"/>
    </xf>
    <xf numFmtId="1" fontId="37" fillId="0" borderId="2" xfId="0" applyNumberFormat="1" applyFont="1" applyBorder="1" applyAlignment="1">
      <alignment horizontal="center" vertical="center" readingOrder="1"/>
    </xf>
    <xf numFmtId="0" fontId="77" fillId="3" borderId="2" xfId="0" applyFont="1" applyFill="1" applyBorder="1" applyAlignment="1">
      <alignment horizontal="center" vertical="center"/>
    </xf>
    <xf numFmtId="0" fontId="81" fillId="0" borderId="2" xfId="0" applyFont="1" applyBorder="1" applyAlignment="1">
      <alignment horizontal="center" vertical="center" readingOrder="1"/>
    </xf>
    <xf numFmtId="0" fontId="65" fillId="19" borderId="2" xfId="0" applyFont="1" applyFill="1" applyBorder="1" applyAlignment="1">
      <alignment horizontal="center" vertical="center" wrapText="1" readingOrder="2"/>
    </xf>
    <xf numFmtId="0" fontId="82" fillId="19" borderId="2" xfId="0" applyFont="1" applyFill="1" applyBorder="1" applyAlignment="1">
      <alignment horizontal="center" vertical="center" readingOrder="1"/>
    </xf>
    <xf numFmtId="0" fontId="77" fillId="19" borderId="2" xfId="0" applyFont="1" applyFill="1" applyBorder="1" applyAlignment="1">
      <alignment horizontal="center" vertical="center"/>
    </xf>
    <xf numFmtId="0" fontId="83" fillId="19" borderId="2" xfId="0" applyFont="1" applyFill="1" applyBorder="1" applyAlignment="1">
      <alignment horizontal="center" vertical="center" readingOrder="2"/>
    </xf>
    <xf numFmtId="0" fontId="82" fillId="19" borderId="2" xfId="0" applyFont="1" applyFill="1" applyBorder="1" applyAlignment="1">
      <alignment horizontal="center" vertical="center" readingOrder="2"/>
    </xf>
    <xf numFmtId="0" fontId="42" fillId="0" borderId="77" xfId="0" applyFont="1" applyBorder="1" applyAlignment="1">
      <alignment horizontal="center" vertical="center" readingOrder="2"/>
    </xf>
    <xf numFmtId="167" fontId="81" fillId="0" borderId="2" xfId="0" applyNumberFormat="1" applyFont="1" applyBorder="1" applyAlignment="1">
      <alignment horizontal="center" vertical="center" readingOrder="1"/>
    </xf>
    <xf numFmtId="0" fontId="81" fillId="0" borderId="2" xfId="0" applyFont="1" applyBorder="1" applyAlignment="1">
      <alignment horizontal="center" vertical="center" readingOrder="2"/>
    </xf>
    <xf numFmtId="0" fontId="81" fillId="19" borderId="2" xfId="0" applyFont="1" applyFill="1" applyBorder="1" applyAlignment="1">
      <alignment horizontal="center" vertical="center" readingOrder="1"/>
    </xf>
    <xf numFmtId="0" fontId="81" fillId="19" borderId="2" xfId="0" applyFont="1" applyFill="1" applyBorder="1" applyAlignment="1">
      <alignment horizontal="center" vertical="center" readingOrder="2"/>
    </xf>
    <xf numFmtId="0" fontId="42" fillId="60" borderId="77" xfId="0" applyFont="1" applyFill="1" applyBorder="1" applyAlignment="1">
      <alignment horizontal="center" vertical="center" readingOrder="2"/>
    </xf>
    <xf numFmtId="0" fontId="42" fillId="61" borderId="77" xfId="0" applyFont="1" applyFill="1" applyBorder="1" applyAlignment="1">
      <alignment horizontal="center" vertical="center" readingOrder="2"/>
    </xf>
    <xf numFmtId="1" fontId="5" fillId="37" borderId="2" xfId="0" applyNumberFormat="1" applyFont="1" applyFill="1" applyBorder="1" applyAlignment="1">
      <alignment horizontal="center" vertical="center"/>
    </xf>
    <xf numFmtId="1" fontId="5" fillId="14" borderId="2" xfId="0" applyNumberFormat="1" applyFont="1" applyFill="1" applyBorder="1" applyAlignment="1">
      <alignment horizontal="center" vertical="center"/>
    </xf>
    <xf numFmtId="1" fontId="5" fillId="17" borderId="2" xfId="0" applyNumberFormat="1" applyFont="1" applyFill="1" applyBorder="1" applyAlignment="1">
      <alignment horizontal="center" vertical="center"/>
    </xf>
    <xf numFmtId="1" fontId="5" fillId="18" borderId="2" xfId="0" applyNumberFormat="1" applyFont="1" applyFill="1" applyBorder="1" applyAlignment="1">
      <alignment horizontal="center" vertical="center"/>
    </xf>
    <xf numFmtId="0" fontId="37" fillId="63" borderId="4" xfId="0" applyFont="1" applyFill="1" applyBorder="1" applyAlignment="1">
      <alignment horizontal="center" vertical="center" wrapText="1" readingOrder="2"/>
    </xf>
    <xf numFmtId="0" fontId="37" fillId="63" borderId="13" xfId="0" applyFont="1" applyFill="1" applyBorder="1" applyAlignment="1">
      <alignment horizontal="center" vertical="center" wrapText="1" readingOrder="2"/>
    </xf>
    <xf numFmtId="0" fontId="37" fillId="64" borderId="4" xfId="0" applyFont="1" applyFill="1" applyBorder="1" applyAlignment="1">
      <alignment horizontal="center" vertical="center" wrapText="1" readingOrder="2"/>
    </xf>
    <xf numFmtId="0" fontId="16" fillId="65" borderId="2" xfId="0" applyFont="1" applyFill="1" applyBorder="1" applyAlignment="1">
      <alignment horizontal="center" vertical="center" wrapText="1" readingOrder="2"/>
    </xf>
    <xf numFmtId="0" fontId="16" fillId="63" borderId="2" xfId="0" applyFont="1" applyFill="1" applyBorder="1" applyAlignment="1">
      <alignment horizontal="center" vertical="center" wrapText="1" readingOrder="2"/>
    </xf>
    <xf numFmtId="0" fontId="16" fillId="63" borderId="8" xfId="0" applyFont="1" applyFill="1" applyBorder="1" applyAlignment="1">
      <alignment horizontal="center" vertical="center" wrapText="1" readingOrder="2"/>
    </xf>
    <xf numFmtId="0" fontId="37" fillId="66" borderId="2" xfId="0" applyFont="1" applyFill="1" applyBorder="1" applyAlignment="1">
      <alignment horizontal="center" vertical="center" wrapText="1" readingOrder="2"/>
    </xf>
    <xf numFmtId="0" fontId="47" fillId="70" borderId="8" xfId="0" applyFont="1" applyFill="1" applyBorder="1" applyAlignment="1">
      <alignment horizontal="center" vertical="center" readingOrder="2"/>
    </xf>
    <xf numFmtId="0" fontId="47" fillId="71" borderId="2" xfId="0" applyFont="1" applyFill="1" applyBorder="1" applyAlignment="1">
      <alignment horizontal="center" vertical="center" readingOrder="2"/>
    </xf>
    <xf numFmtId="0" fontId="53" fillId="66" borderId="2" xfId="0" applyFont="1" applyFill="1" applyBorder="1" applyAlignment="1">
      <alignment horizontal="center" vertical="center" readingOrder="2"/>
    </xf>
    <xf numFmtId="0" fontId="53" fillId="66" borderId="8" xfId="0" applyFont="1" applyFill="1" applyBorder="1" applyAlignment="1">
      <alignment horizontal="center" vertical="center" readingOrder="2"/>
    </xf>
    <xf numFmtId="0" fontId="74" fillId="66" borderId="2" xfId="0" applyFont="1" applyFill="1" applyBorder="1" applyAlignment="1">
      <alignment horizontal="center" vertical="center" wrapText="1" readingOrder="2"/>
    </xf>
    <xf numFmtId="0" fontId="74" fillId="66" borderId="2" xfId="0" applyFont="1" applyFill="1" applyBorder="1" applyAlignment="1">
      <alignment horizontal="center" vertical="center" readingOrder="2"/>
    </xf>
    <xf numFmtId="0" fontId="74" fillId="66" borderId="8" xfId="0" applyFont="1" applyFill="1" applyBorder="1" applyAlignment="1">
      <alignment horizontal="center" vertical="center" wrapText="1" readingOrder="2"/>
    </xf>
    <xf numFmtId="0" fontId="37" fillId="69" borderId="2" xfId="0" applyFont="1" applyFill="1" applyBorder="1" applyAlignment="1">
      <alignment horizontal="center" vertical="center" readingOrder="2"/>
    </xf>
    <xf numFmtId="0" fontId="37" fillId="69" borderId="3" xfId="0" applyFont="1" applyFill="1" applyBorder="1" applyAlignment="1">
      <alignment horizontal="center" vertical="center" readingOrder="2"/>
    </xf>
    <xf numFmtId="0" fontId="37" fillId="69" borderId="4" xfId="0" applyFont="1" applyFill="1" applyBorder="1" applyAlignment="1">
      <alignment horizontal="center" vertical="center" readingOrder="2"/>
    </xf>
    <xf numFmtId="0" fontId="47" fillId="66" borderId="8" xfId="0" applyFont="1" applyFill="1" applyBorder="1" applyAlignment="1">
      <alignment vertical="center" readingOrder="2"/>
    </xf>
    <xf numFmtId="0" fontId="47" fillId="66" borderId="9" xfId="0" applyFont="1" applyFill="1" applyBorder="1" applyAlignment="1">
      <alignment vertical="center" readingOrder="2"/>
    </xf>
    <xf numFmtId="0" fontId="47" fillId="66" borderId="10" xfId="0" applyFont="1" applyFill="1" applyBorder="1" applyAlignment="1">
      <alignment vertical="center" readingOrder="2"/>
    </xf>
    <xf numFmtId="0" fontId="47" fillId="33" borderId="10" xfId="0" applyFont="1" applyFill="1" applyBorder="1" applyAlignment="1">
      <alignment horizontal="center" vertical="center" readingOrder="2"/>
    </xf>
    <xf numFmtId="0" fontId="53" fillId="33" borderId="2" xfId="0" applyFont="1" applyFill="1" applyBorder="1" applyAlignment="1">
      <alignment horizontal="center" vertical="center" readingOrder="2"/>
    </xf>
    <xf numFmtId="0" fontId="53" fillId="33" borderId="8" xfId="0" applyFont="1" applyFill="1" applyBorder="1" applyAlignment="1">
      <alignment horizontal="center" vertical="center" readingOrder="2"/>
    </xf>
    <xf numFmtId="0" fontId="74" fillId="33" borderId="2" xfId="0" applyFont="1" applyFill="1" applyBorder="1" applyAlignment="1">
      <alignment horizontal="center" vertical="center" readingOrder="2"/>
    </xf>
    <xf numFmtId="0" fontId="47" fillId="77" borderId="10" xfId="0" applyFont="1" applyFill="1" applyBorder="1" applyAlignment="1">
      <alignment horizontal="center" vertical="center" readingOrder="2"/>
    </xf>
    <xf numFmtId="0" fontId="84" fillId="78" borderId="0" xfId="0" applyFont="1" applyFill="1" applyAlignment="1">
      <alignment horizontal="center" vertical="center" wrapText="1" readingOrder="2"/>
    </xf>
    <xf numFmtId="0" fontId="47" fillId="78" borderId="0" xfId="0" applyFont="1" applyFill="1" applyAlignment="1">
      <alignment horizontal="center" vertical="center" readingOrder="2"/>
    </xf>
    <xf numFmtId="0" fontId="84" fillId="78" borderId="0" xfId="0" applyFont="1" applyFill="1" applyAlignment="1">
      <alignment horizontal="center" vertical="center" readingOrder="2"/>
    </xf>
    <xf numFmtId="0" fontId="74" fillId="78" borderId="0" xfId="0" applyFont="1" applyFill="1" applyAlignment="1">
      <alignment horizontal="center" vertical="center" readingOrder="2"/>
    </xf>
    <xf numFmtId="0" fontId="84" fillId="78" borderId="0" xfId="0" applyFont="1" applyFill="1" applyAlignment="1">
      <alignment horizontal="center" readingOrder="1"/>
    </xf>
    <xf numFmtId="0" fontId="53" fillId="77" borderId="2" xfId="0" applyFont="1" applyFill="1" applyBorder="1" applyAlignment="1">
      <alignment horizontal="center" vertical="center" readingOrder="2"/>
    </xf>
    <xf numFmtId="0" fontId="53" fillId="41" borderId="8" xfId="0" applyFont="1" applyFill="1" applyBorder="1" applyAlignment="1">
      <alignment horizontal="center" vertical="center" readingOrder="2"/>
    </xf>
    <xf numFmtId="0" fontId="25" fillId="27" borderId="32" xfId="0" applyFont="1" applyFill="1" applyBorder="1" applyAlignment="1">
      <alignment horizontal="center" vertical="center" wrapText="1" readingOrder="2"/>
    </xf>
    <xf numFmtId="0" fontId="25" fillId="27" borderId="50" xfId="0" applyFont="1" applyFill="1" applyBorder="1" applyAlignment="1">
      <alignment horizontal="center" vertical="center" wrapText="1" readingOrder="2"/>
    </xf>
    <xf numFmtId="0" fontId="85" fillId="0" borderId="48" xfId="0" applyFont="1" applyBorder="1" applyAlignment="1">
      <alignment horizontal="center" vertical="center"/>
    </xf>
    <xf numFmtId="0" fontId="86" fillId="0" borderId="43" xfId="0" applyFont="1" applyBorder="1" applyAlignment="1">
      <alignment horizontal="center" vertical="center" readingOrder="2"/>
    </xf>
    <xf numFmtId="1" fontId="87" fillId="0" borderId="43" xfId="0" applyNumberFormat="1" applyFont="1" applyBorder="1" applyAlignment="1">
      <alignment horizontal="center" vertical="center"/>
    </xf>
    <xf numFmtId="169" fontId="88" fillId="0" borderId="43" xfId="0" applyNumberFormat="1" applyFont="1" applyBorder="1" applyAlignment="1">
      <alignment horizontal="center" vertical="center" readingOrder="2"/>
    </xf>
    <xf numFmtId="1" fontId="26" fillId="27" borderId="48" xfId="0" applyNumberFormat="1" applyFont="1" applyFill="1" applyBorder="1" applyAlignment="1">
      <alignment horizontal="center" vertical="center"/>
    </xf>
    <xf numFmtId="169" fontId="88" fillId="0" borderId="49" xfId="0" applyNumberFormat="1" applyFont="1" applyBorder="1" applyAlignment="1">
      <alignment horizontal="center" vertical="center" wrapText="1" readingOrder="2"/>
    </xf>
    <xf numFmtId="1" fontId="88" fillId="0" borderId="49" xfId="0" applyNumberFormat="1" applyFont="1" applyBorder="1" applyAlignment="1">
      <alignment horizontal="center" vertical="center" wrapText="1" readingOrder="2"/>
    </xf>
    <xf numFmtId="1" fontId="26" fillId="6" borderId="48" xfId="0" applyNumberFormat="1" applyFont="1" applyFill="1" applyBorder="1" applyAlignment="1">
      <alignment horizontal="center" vertical="center"/>
    </xf>
    <xf numFmtId="169" fontId="88" fillId="0" borderId="42" xfId="0" applyNumberFormat="1" applyFont="1" applyBorder="1" applyAlignment="1">
      <alignment horizontal="center" vertical="center" wrapText="1" readingOrder="2"/>
    </xf>
    <xf numFmtId="169" fontId="88" fillId="0" borderId="2" xfId="0" applyNumberFormat="1" applyFont="1" applyBorder="1" applyAlignment="1">
      <alignment horizontal="center" vertical="center" wrapText="1" readingOrder="2"/>
    </xf>
    <xf numFmtId="1" fontId="26" fillId="6" borderId="80" xfId="0" applyNumberFormat="1" applyFont="1" applyFill="1" applyBorder="1" applyAlignment="1">
      <alignment horizontal="center" vertical="center"/>
    </xf>
    <xf numFmtId="0" fontId="85" fillId="0" borderId="48" xfId="0" applyFont="1" applyBorder="1" applyAlignment="1">
      <alignment horizontal="center" vertical="center" readingOrder="2"/>
    </xf>
    <xf numFmtId="1" fontId="26" fillId="28" borderId="32" xfId="0" applyNumberFormat="1" applyFont="1" applyFill="1" applyBorder="1" applyAlignment="1">
      <alignment horizontal="center" vertical="center"/>
    </xf>
    <xf numFmtId="169" fontId="91" fillId="79" borderId="32" xfId="0" applyNumberFormat="1" applyFont="1" applyFill="1" applyBorder="1" applyAlignment="1">
      <alignment horizontal="center" vertical="center" wrapText="1" readingOrder="2"/>
    </xf>
    <xf numFmtId="0" fontId="25" fillId="27" borderId="2" xfId="0" applyFont="1" applyFill="1" applyBorder="1" applyAlignment="1">
      <alignment horizontal="center" vertical="center" wrapText="1" readingOrder="2"/>
    </xf>
    <xf numFmtId="0" fontId="88" fillId="0" borderId="49" xfId="0" applyFont="1" applyBorder="1" applyAlignment="1">
      <alignment horizontal="center" vertical="center" wrapText="1" readingOrder="2"/>
    </xf>
    <xf numFmtId="1" fontId="87" fillId="0" borderId="2" xfId="0" applyNumberFormat="1" applyFont="1" applyBorder="1" applyAlignment="1">
      <alignment horizontal="center" vertical="center"/>
    </xf>
    <xf numFmtId="0" fontId="85" fillId="19" borderId="48" xfId="0" applyFont="1" applyFill="1" applyBorder="1" applyAlignment="1">
      <alignment horizontal="center" vertical="center"/>
    </xf>
    <xf numFmtId="0" fontId="90" fillId="0" borderId="48" xfId="0" applyFont="1" applyBorder="1" applyAlignment="1">
      <alignment horizontal="center" vertical="center" readingOrder="2"/>
    </xf>
    <xf numFmtId="0" fontId="27" fillId="18" borderId="32" xfId="0" applyFont="1" applyFill="1" applyBorder="1" applyAlignment="1">
      <alignment horizontal="center" vertical="center" readingOrder="2"/>
    </xf>
    <xf numFmtId="1" fontId="26" fillId="18" borderId="32" xfId="0" applyNumberFormat="1" applyFont="1" applyFill="1" applyBorder="1" applyAlignment="1">
      <alignment horizontal="center" vertical="center"/>
    </xf>
    <xf numFmtId="0" fontId="88" fillId="18" borderId="49" xfId="0" applyFont="1" applyFill="1" applyBorder="1" applyAlignment="1">
      <alignment horizontal="center" vertical="center" wrapText="1" readingOrder="2"/>
    </xf>
    <xf numFmtId="1" fontId="26" fillId="18" borderId="2" xfId="0" applyNumberFormat="1" applyFont="1" applyFill="1" applyBorder="1" applyAlignment="1">
      <alignment horizontal="center" vertical="center"/>
    </xf>
    <xf numFmtId="0" fontId="27" fillId="28" borderId="48" xfId="0" applyFont="1" applyFill="1" applyBorder="1" applyAlignment="1">
      <alignment horizontal="center" vertical="center" readingOrder="2"/>
    </xf>
    <xf numFmtId="1" fontId="52" fillId="12" borderId="43" xfId="0" applyNumberFormat="1" applyFont="1" applyFill="1" applyBorder="1" applyAlignment="1">
      <alignment horizontal="center" vertical="center" readingOrder="2"/>
    </xf>
    <xf numFmtId="1" fontId="26" fillId="28" borderId="48" xfId="0" applyNumberFormat="1" applyFont="1" applyFill="1" applyBorder="1" applyAlignment="1">
      <alignment horizontal="center" vertical="center"/>
    </xf>
    <xf numFmtId="0" fontId="92" fillId="82" borderId="0" xfId="0" applyFont="1" applyFill="1" applyAlignment="1">
      <alignment horizontal="center" vertical="center" wrapText="1" readingOrder="2"/>
    </xf>
    <xf numFmtId="0" fontId="26" fillId="28" borderId="48" xfId="0" applyFont="1" applyFill="1" applyBorder="1" applyAlignment="1">
      <alignment horizontal="center" vertical="center"/>
    </xf>
    <xf numFmtId="0" fontId="93" fillId="27" borderId="47" xfId="0" applyFont="1" applyFill="1" applyBorder="1" applyAlignment="1">
      <alignment horizontal="center" vertical="center" wrapText="1" readingOrder="2"/>
    </xf>
    <xf numFmtId="0" fontId="93" fillId="27" borderId="41" xfId="0" applyFont="1" applyFill="1" applyBorder="1" applyAlignment="1">
      <alignment horizontal="center" vertical="center" wrapText="1" readingOrder="2"/>
    </xf>
    <xf numFmtId="0" fontId="94" fillId="80" borderId="32" xfId="0" applyFont="1" applyFill="1" applyBorder="1" applyAlignment="1">
      <alignment horizontal="center" vertical="center" wrapText="1" readingOrder="2"/>
    </xf>
    <xf numFmtId="0" fontId="95" fillId="3" borderId="51" xfId="0" applyFont="1" applyFill="1" applyBorder="1" applyAlignment="1">
      <alignment horizontal="center" vertical="center" wrapText="1" readingOrder="2"/>
    </xf>
    <xf numFmtId="0" fontId="96" fillId="81" borderId="32" xfId="0" applyFont="1" applyFill="1" applyBorder="1" applyAlignment="1">
      <alignment horizontal="center" vertical="center" wrapText="1" readingOrder="2"/>
    </xf>
    <xf numFmtId="0" fontId="97" fillId="0" borderId="32" xfId="0" applyFont="1" applyBorder="1" applyAlignment="1">
      <alignment horizontal="center" vertical="center" wrapText="1" readingOrder="2"/>
    </xf>
    <xf numFmtId="0" fontId="94" fillId="80" borderId="48" xfId="0" applyFont="1" applyFill="1" applyBorder="1" applyAlignment="1">
      <alignment horizontal="center" vertical="center" wrapText="1" readingOrder="2"/>
    </xf>
    <xf numFmtId="0" fontId="95" fillId="3" borderId="43" xfId="0" applyFont="1" applyFill="1" applyBorder="1" applyAlignment="1">
      <alignment horizontal="center" vertical="center" wrapText="1" readingOrder="2"/>
    </xf>
    <xf numFmtId="0" fontId="96" fillId="81" borderId="48" xfId="0" applyFont="1" applyFill="1" applyBorder="1" applyAlignment="1">
      <alignment horizontal="center" vertical="center" wrapText="1" readingOrder="2"/>
    </xf>
    <xf numFmtId="0" fontId="97" fillId="0" borderId="48" xfId="0" applyFont="1" applyBorder="1" applyAlignment="1">
      <alignment horizontal="center" vertical="center" wrapText="1" readingOrder="2"/>
    </xf>
    <xf numFmtId="0" fontId="96" fillId="3" borderId="43" xfId="0" applyFont="1" applyFill="1" applyBorder="1" applyAlignment="1">
      <alignment horizontal="center" vertical="center" wrapText="1" readingOrder="2"/>
    </xf>
    <xf numFmtId="0" fontId="102" fillId="3" borderId="2" xfId="0" applyFont="1" applyFill="1" applyBorder="1" applyAlignment="1">
      <alignment horizontal="center" vertical="center"/>
    </xf>
    <xf numFmtId="0" fontId="103" fillId="27" borderId="2" xfId="0" applyFont="1" applyFill="1" applyBorder="1" applyAlignment="1">
      <alignment horizontal="center" vertical="center" wrapText="1" readingOrder="2"/>
    </xf>
    <xf numFmtId="0" fontId="102" fillId="19" borderId="2" xfId="0" applyFont="1" applyFill="1" applyBorder="1" applyAlignment="1">
      <alignment horizontal="center" vertical="center"/>
    </xf>
    <xf numFmtId="0" fontId="102" fillId="0" borderId="2" xfId="0" applyFont="1" applyBorder="1" applyAlignment="1">
      <alignment horizontal="center" vertical="center" readingOrder="2"/>
    </xf>
    <xf numFmtId="0" fontId="102" fillId="0" borderId="2" xfId="0" applyFont="1" applyBorder="1" applyAlignment="1">
      <alignment horizontal="center" vertical="center"/>
    </xf>
    <xf numFmtId="0" fontId="104" fillId="0" borderId="2" xfId="0" applyFont="1" applyBorder="1" applyAlignment="1">
      <alignment horizontal="center" vertical="center" wrapText="1" readingOrder="2"/>
    </xf>
    <xf numFmtId="0" fontId="103" fillId="5" borderId="2" xfId="0" applyFont="1" applyFill="1" applyBorder="1" applyAlignment="1">
      <alignment horizontal="center" vertical="center"/>
    </xf>
    <xf numFmtId="0" fontId="74" fillId="0" borderId="2" xfId="0" applyFont="1" applyBorder="1" applyAlignment="1">
      <alignment horizontal="center" vertical="center" readingOrder="2"/>
    </xf>
    <xf numFmtId="0" fontId="104" fillId="0" borderId="2" xfId="0" applyFont="1" applyBorder="1" applyAlignment="1">
      <alignment horizontal="center" vertical="center" readingOrder="2"/>
    </xf>
    <xf numFmtId="0" fontId="74" fillId="0" borderId="2" xfId="0" applyFont="1" applyBorder="1" applyAlignment="1">
      <alignment horizontal="center" vertical="center" wrapText="1" readingOrder="2"/>
    </xf>
    <xf numFmtId="0" fontId="74" fillId="18" borderId="2" xfId="0" applyFont="1" applyFill="1" applyBorder="1" applyAlignment="1">
      <alignment horizontal="center" vertical="center" readingOrder="2"/>
    </xf>
    <xf numFmtId="0" fontId="103" fillId="18" borderId="32" xfId="0" applyFont="1" applyFill="1" applyBorder="1" applyAlignment="1">
      <alignment horizontal="center" vertical="center" readingOrder="2"/>
    </xf>
    <xf numFmtId="0" fontId="103" fillId="28" borderId="2" xfId="0" applyFont="1" applyFill="1" applyBorder="1" applyAlignment="1">
      <alignment horizontal="center" vertical="center"/>
    </xf>
    <xf numFmtId="0" fontId="103" fillId="0" borderId="2" xfId="0" applyFont="1" applyBorder="1" applyAlignment="1">
      <alignment horizontal="center" vertical="center"/>
    </xf>
    <xf numFmtId="0" fontId="74" fillId="3" borderId="2" xfId="0" applyFont="1" applyFill="1" applyBorder="1" applyAlignment="1">
      <alignment horizontal="center" vertical="center" readingOrder="2"/>
    </xf>
    <xf numFmtId="0" fontId="74" fillId="19" borderId="2" xfId="0" applyFont="1" applyFill="1" applyBorder="1" applyAlignment="1">
      <alignment horizontal="center" vertical="center" readingOrder="2"/>
    </xf>
    <xf numFmtId="0" fontId="105" fillId="0" borderId="2" xfId="0" applyFont="1" applyBorder="1" applyAlignment="1">
      <alignment horizontal="center" vertical="center"/>
    </xf>
    <xf numFmtId="0" fontId="103" fillId="18" borderId="2" xfId="0" applyFont="1" applyFill="1" applyBorder="1" applyAlignment="1">
      <alignment horizontal="center" vertical="center"/>
    </xf>
    <xf numFmtId="0" fontId="105" fillId="19" borderId="2" xfId="0" applyFont="1" applyFill="1" applyBorder="1" applyAlignment="1">
      <alignment horizontal="center" vertical="center" wrapText="1" readingOrder="2"/>
    </xf>
    <xf numFmtId="0" fontId="74" fillId="19" borderId="2" xfId="0" applyFont="1" applyFill="1" applyBorder="1" applyAlignment="1">
      <alignment horizontal="center" vertical="center"/>
    </xf>
    <xf numFmtId="0" fontId="106" fillId="19" borderId="2" xfId="0" applyFont="1" applyFill="1" applyBorder="1" applyAlignment="1">
      <alignment horizontal="center" vertical="center" readingOrder="2"/>
    </xf>
    <xf numFmtId="0" fontId="103" fillId="28" borderId="2" xfId="0" applyFont="1" applyFill="1" applyBorder="1" applyAlignment="1">
      <alignment horizontal="center" vertical="center" readingOrder="2"/>
    </xf>
    <xf numFmtId="0" fontId="103" fillId="26" borderId="2" xfId="0" applyFont="1" applyFill="1" applyBorder="1" applyAlignment="1">
      <alignment horizontal="center" vertical="center" readingOrder="2"/>
    </xf>
    <xf numFmtId="0" fontId="102" fillId="0" borderId="0" xfId="0" applyFont="1"/>
    <xf numFmtId="0" fontId="102" fillId="18" borderId="2" xfId="0" applyFont="1" applyFill="1" applyBorder="1" applyAlignment="1">
      <alignment horizontal="center" vertical="center"/>
    </xf>
    <xf numFmtId="0" fontId="102" fillId="0" borderId="0" xfId="0" applyFont="1" applyAlignment="1">
      <alignment horizontal="center" vertical="center"/>
    </xf>
    <xf numFmtId="0" fontId="10" fillId="0" borderId="0" xfId="1"/>
    <xf numFmtId="0" fontId="47" fillId="74" borderId="2" xfId="0" applyFont="1" applyFill="1" applyBorder="1" applyAlignment="1">
      <alignment horizontal="center" vertical="center" wrapText="1" readingOrder="2"/>
    </xf>
    <xf numFmtId="0" fontId="47" fillId="0" borderId="2" xfId="0" applyFont="1" applyBorder="1" applyAlignment="1">
      <alignment horizontal="center" vertical="center" readingOrder="1"/>
    </xf>
    <xf numFmtId="0" fontId="47" fillId="71" borderId="2" xfId="0" applyFont="1" applyFill="1" applyBorder="1" applyAlignment="1">
      <alignment horizontal="center" vertical="center" readingOrder="1"/>
    </xf>
    <xf numFmtId="0" fontId="47" fillId="64" borderId="2" xfId="0" applyFont="1" applyFill="1" applyBorder="1" applyAlignment="1">
      <alignment horizontal="center" vertical="center" readingOrder="1"/>
    </xf>
    <xf numFmtId="0" fontId="47" fillId="41" borderId="2" xfId="0" applyFont="1" applyFill="1" applyBorder="1" applyAlignment="1">
      <alignment horizontal="center" vertical="center" readingOrder="1"/>
    </xf>
    <xf numFmtId="0" fontId="47" fillId="33" borderId="2" xfId="0" applyFont="1" applyFill="1" applyBorder="1" applyAlignment="1">
      <alignment horizontal="center" vertical="center" readingOrder="2"/>
    </xf>
    <xf numFmtId="0" fontId="0" fillId="6" borderId="0" xfId="0" applyFill="1"/>
    <xf numFmtId="0" fontId="24" fillId="0" borderId="0" xfId="0" applyFont="1" applyAlignment="1">
      <alignment vertical="top" wrapText="1"/>
    </xf>
    <xf numFmtId="0" fontId="11" fillId="0" borderId="0" xfId="0" applyFont="1" applyAlignment="1">
      <alignment horizontal="center" wrapText="1"/>
    </xf>
    <xf numFmtId="0" fontId="13" fillId="0" borderId="0" xfId="0" applyFont="1" applyAlignment="1">
      <alignment horizontal="center" wrapText="1"/>
    </xf>
    <xf numFmtId="49" fontId="31" fillId="0" borderId="2" xfId="0" applyNumberFormat="1" applyFont="1" applyBorder="1" applyAlignment="1">
      <alignment horizontal="center" vertical="center" readingOrder="2"/>
    </xf>
    <xf numFmtId="1" fontId="31" fillId="40" borderId="2" xfId="0" applyNumberFormat="1" applyFont="1" applyFill="1" applyBorder="1" applyAlignment="1">
      <alignment horizontal="center" vertical="center" readingOrder="2"/>
    </xf>
    <xf numFmtId="0" fontId="12" fillId="0" borderId="0" xfId="0" applyFont="1" applyAlignment="1">
      <alignment horizontal="center" vertical="center" wrapText="1"/>
    </xf>
    <xf numFmtId="0" fontId="11" fillId="0" borderId="0" xfId="0" applyFont="1" applyAlignment="1">
      <alignment horizontal="center" vertical="center" wrapText="1"/>
    </xf>
    <xf numFmtId="0" fontId="14" fillId="0" borderId="0" xfId="0" applyFont="1" applyAlignment="1">
      <alignment horizontal="center" vertical="center" wrapText="1" readingOrder="2"/>
    </xf>
    <xf numFmtId="9" fontId="14" fillId="0" borderId="0" xfId="0" applyNumberFormat="1" applyFont="1" applyAlignment="1">
      <alignment horizontal="center" vertical="center" wrapText="1" readingOrder="2"/>
    </xf>
    <xf numFmtId="1" fontId="14" fillId="0" borderId="0" xfId="0" applyNumberFormat="1" applyFont="1" applyAlignment="1">
      <alignment horizontal="center" vertical="center" wrapText="1" readingOrder="2"/>
    </xf>
    <xf numFmtId="0" fontId="12" fillId="0" borderId="0" xfId="0" applyFont="1" applyAlignment="1">
      <alignment horizontal="center" wrapText="1"/>
    </xf>
    <xf numFmtId="0" fontId="9" fillId="0" borderId="0" xfId="1" applyFont="1" applyAlignment="1">
      <alignment horizontal="center" vertical="center" wrapText="1"/>
    </xf>
    <xf numFmtId="0" fontId="29" fillId="0" borderId="2" xfId="0" applyFont="1" applyBorder="1" applyAlignment="1">
      <alignment horizontal="center" vertical="center" readingOrder="2"/>
    </xf>
    <xf numFmtId="0" fontId="10" fillId="0" borderId="0" xfId="1" applyAlignment="1">
      <alignment horizontal="center" vertical="center"/>
    </xf>
    <xf numFmtId="1" fontId="31" fillId="40" borderId="10" xfId="0" applyNumberFormat="1" applyFont="1" applyFill="1" applyBorder="1" applyAlignment="1">
      <alignment horizontal="center" vertical="center" readingOrder="2"/>
    </xf>
    <xf numFmtId="0" fontId="110" fillId="4" borderId="0" xfId="0" applyFont="1" applyFill="1" applyAlignment="1">
      <alignment horizontal="center"/>
    </xf>
    <xf numFmtId="0" fontId="110" fillId="0" borderId="0" xfId="0" applyFont="1"/>
    <xf numFmtId="0" fontId="29" fillId="29" borderId="2" xfId="0" applyFont="1" applyFill="1" applyBorder="1" applyAlignment="1">
      <alignment horizontal="center" readingOrder="2"/>
    </xf>
    <xf numFmtId="0" fontId="110" fillId="0" borderId="0" xfId="0" applyFont="1" applyAlignment="1">
      <alignment horizontal="center"/>
    </xf>
    <xf numFmtId="0" fontId="5" fillId="0" borderId="0" xfId="1" applyFont="1" applyAlignment="1">
      <alignment horizontal="center" vertical="center"/>
    </xf>
    <xf numFmtId="0" fontId="0" fillId="17" borderId="34" xfId="0" applyFill="1" applyBorder="1"/>
    <xf numFmtId="0" fontId="0" fillId="17" borderId="35" xfId="0" applyFill="1" applyBorder="1"/>
    <xf numFmtId="0" fontId="0" fillId="17" borderId="37" xfId="0" applyFill="1" applyBorder="1"/>
    <xf numFmtId="0" fontId="0" fillId="17" borderId="39" xfId="0" applyFill="1" applyBorder="1"/>
    <xf numFmtId="0" fontId="0" fillId="17" borderId="40" xfId="0" applyFill="1" applyBorder="1"/>
    <xf numFmtId="0" fontId="85" fillId="3" borderId="48" xfId="0" applyFont="1" applyFill="1" applyBorder="1" applyAlignment="1">
      <alignment horizontal="center" vertical="center"/>
    </xf>
    <xf numFmtId="0" fontId="94" fillId="3" borderId="48" xfId="0" applyFont="1" applyFill="1" applyBorder="1" applyAlignment="1">
      <alignment horizontal="center" vertical="center" wrapText="1" readingOrder="2"/>
    </xf>
    <xf numFmtId="0" fontId="36" fillId="83" borderId="52" xfId="0" applyFont="1" applyFill="1" applyBorder="1" applyAlignment="1">
      <alignment horizontal="center" vertical="center" readingOrder="2"/>
    </xf>
    <xf numFmtId="0" fontId="36" fillId="83" borderId="4" xfId="0" applyFont="1" applyFill="1" applyBorder="1" applyAlignment="1">
      <alignment horizontal="center" vertical="center" readingOrder="2"/>
    </xf>
    <xf numFmtId="0" fontId="36" fillId="83" borderId="53" xfId="0" applyFont="1" applyFill="1" applyBorder="1" applyAlignment="1">
      <alignment horizontal="center" vertical="center" readingOrder="2"/>
    </xf>
    <xf numFmtId="0" fontId="42" fillId="0" borderId="8" xfId="0" applyFont="1" applyBorder="1" applyAlignment="1">
      <alignment horizontal="center" vertical="center" readingOrder="2"/>
    </xf>
    <xf numFmtId="0" fontId="8" fillId="15" borderId="8" xfId="0" applyFont="1" applyFill="1" applyBorder="1" applyAlignment="1">
      <alignment horizontal="center" vertical="center" wrapText="1"/>
    </xf>
    <xf numFmtId="0" fontId="5" fillId="0" borderId="8" xfId="0" applyFont="1" applyBorder="1" applyAlignment="1">
      <alignment horizontal="center" vertical="center"/>
    </xf>
    <xf numFmtId="0" fontId="8" fillId="84" borderId="2" xfId="0" applyFont="1" applyFill="1" applyBorder="1" applyAlignment="1">
      <alignment horizontal="center" vertical="center" wrapText="1"/>
    </xf>
    <xf numFmtId="0" fontId="5" fillId="51" borderId="8" xfId="0" applyFont="1" applyFill="1" applyBorder="1" applyAlignment="1">
      <alignment horizontal="center" vertical="center"/>
    </xf>
    <xf numFmtId="0" fontId="39" fillId="74" borderId="3" xfId="0" applyFont="1" applyFill="1" applyBorder="1" applyAlignment="1">
      <alignment horizontal="center" vertical="center" readingOrder="2"/>
    </xf>
    <xf numFmtId="0" fontId="39" fillId="74" borderId="2" xfId="0" applyFont="1" applyFill="1" applyBorder="1" applyAlignment="1">
      <alignment horizontal="center" vertical="center" readingOrder="2"/>
    </xf>
    <xf numFmtId="0" fontId="53" fillId="85" borderId="2" xfId="0" applyFont="1" applyFill="1" applyBorder="1" applyAlignment="1">
      <alignment horizontal="center" vertical="center" readingOrder="1"/>
    </xf>
    <xf numFmtId="0" fontId="53" fillId="62" borderId="2" xfId="0" applyFont="1" applyFill="1" applyBorder="1" applyAlignment="1">
      <alignment horizontal="center" vertical="center" readingOrder="1"/>
    </xf>
    <xf numFmtId="0" fontId="53" fillId="67" borderId="2" xfId="0" applyFont="1" applyFill="1" applyBorder="1" applyAlignment="1">
      <alignment horizontal="center" vertical="center" readingOrder="2"/>
    </xf>
    <xf numFmtId="0" fontId="53" fillId="68" borderId="2" xfId="0" applyFont="1" applyFill="1" applyBorder="1" applyAlignment="1">
      <alignment horizontal="center" vertical="center" readingOrder="1"/>
    </xf>
    <xf numFmtId="0" fontId="53" fillId="33" borderId="2" xfId="0" applyFont="1" applyFill="1" applyBorder="1" applyAlignment="1">
      <alignment horizontal="center" vertical="center" readingOrder="1"/>
    </xf>
    <xf numFmtId="0" fontId="53" fillId="77" borderId="2" xfId="0" applyFont="1" applyFill="1" applyBorder="1" applyAlignment="1">
      <alignment horizontal="center" vertical="center" readingOrder="1"/>
    </xf>
    <xf numFmtId="0" fontId="53" fillId="73" borderId="2" xfId="0" applyFont="1" applyFill="1" applyBorder="1" applyAlignment="1">
      <alignment horizontal="center" vertical="center" readingOrder="1"/>
    </xf>
    <xf numFmtId="0" fontId="84" fillId="41" borderId="2" xfId="0" applyFont="1" applyFill="1" applyBorder="1" applyAlignment="1">
      <alignment horizontal="center" vertical="center" readingOrder="1"/>
    </xf>
    <xf numFmtId="0" fontId="112" fillId="78" borderId="0" xfId="0" applyFont="1" applyFill="1" applyAlignment="1">
      <alignment readingOrder="1"/>
    </xf>
    <xf numFmtId="0" fontId="113" fillId="0" borderId="2" xfId="0" applyFont="1" applyBorder="1" applyAlignment="1">
      <alignment horizontal="center" vertical="center" readingOrder="1"/>
    </xf>
    <xf numFmtId="0" fontId="47" fillId="69" borderId="10" xfId="0" applyFont="1" applyFill="1" applyBorder="1" applyAlignment="1">
      <alignment horizontal="center" vertical="center" readingOrder="2"/>
    </xf>
    <xf numFmtId="1" fontId="47" fillId="0" borderId="2" xfId="0" applyNumberFormat="1" applyFont="1" applyBorder="1" applyAlignment="1">
      <alignment horizontal="center" vertical="center" readingOrder="2"/>
    </xf>
    <xf numFmtId="1" fontId="47" fillId="70" borderId="3" xfId="0" applyNumberFormat="1" applyFont="1" applyFill="1" applyBorder="1" applyAlignment="1">
      <alignment horizontal="center" vertical="center" readingOrder="2"/>
    </xf>
    <xf numFmtId="1" fontId="47" fillId="70" borderId="8" xfId="0" applyNumberFormat="1" applyFont="1" applyFill="1" applyBorder="1" applyAlignment="1">
      <alignment horizontal="center" vertical="center" readingOrder="2"/>
    </xf>
    <xf numFmtId="1" fontId="53" fillId="66" borderId="8" xfId="0" applyNumberFormat="1" applyFont="1" applyFill="1" applyBorder="1" applyAlignment="1">
      <alignment horizontal="center" vertical="center" readingOrder="2"/>
    </xf>
    <xf numFmtId="1" fontId="53" fillId="66" borderId="2" xfId="0" applyNumberFormat="1" applyFont="1" applyFill="1" applyBorder="1" applyAlignment="1">
      <alignment horizontal="center" vertical="center" readingOrder="2"/>
    </xf>
    <xf numFmtId="1" fontId="53" fillId="70" borderId="8" xfId="0" applyNumberFormat="1" applyFont="1" applyFill="1" applyBorder="1" applyAlignment="1">
      <alignment horizontal="center" vertical="center" readingOrder="2"/>
    </xf>
    <xf numFmtId="1" fontId="74" fillId="74" borderId="2" xfId="0" applyNumberFormat="1" applyFont="1" applyFill="1" applyBorder="1" applyAlignment="1">
      <alignment horizontal="center" vertical="center" readingOrder="2"/>
    </xf>
    <xf numFmtId="1" fontId="53" fillId="33" borderId="2" xfId="0" applyNumberFormat="1" applyFont="1" applyFill="1" applyBorder="1" applyAlignment="1">
      <alignment horizontal="center" vertical="center" readingOrder="2"/>
    </xf>
    <xf numFmtId="1" fontId="53" fillId="88" borderId="2" xfId="0" applyNumberFormat="1" applyFont="1" applyFill="1" applyBorder="1" applyAlignment="1">
      <alignment horizontal="center" vertical="center" readingOrder="2"/>
    </xf>
    <xf numFmtId="1" fontId="53" fillId="88" borderId="8" xfId="0" applyNumberFormat="1" applyFont="1" applyFill="1" applyBorder="1" applyAlignment="1">
      <alignment horizontal="center" vertical="center" readingOrder="2"/>
    </xf>
    <xf numFmtId="1" fontId="74" fillId="66" borderId="8" xfId="0" applyNumberFormat="1" applyFont="1" applyFill="1" applyBorder="1" applyAlignment="1">
      <alignment horizontal="center" vertical="center" readingOrder="2"/>
    </xf>
    <xf numFmtId="1" fontId="74" fillId="66" borderId="8" xfId="0" applyNumberFormat="1" applyFont="1" applyFill="1" applyBorder="1" applyAlignment="1">
      <alignment horizontal="center" vertical="center" wrapText="1" readingOrder="2"/>
    </xf>
    <xf numFmtId="165" fontId="74" fillId="66" borderId="2" xfId="0" applyNumberFormat="1" applyFont="1" applyFill="1" applyBorder="1" applyAlignment="1">
      <alignment horizontal="center" vertical="center" readingOrder="2"/>
    </xf>
    <xf numFmtId="165" fontId="74" fillId="33" borderId="2" xfId="0" applyNumberFormat="1" applyFont="1" applyFill="1" applyBorder="1" applyAlignment="1">
      <alignment horizontal="center" vertical="center" readingOrder="2"/>
    </xf>
    <xf numFmtId="165" fontId="74" fillId="76" borderId="2" xfId="0" applyNumberFormat="1" applyFont="1" applyFill="1" applyBorder="1" applyAlignment="1">
      <alignment horizontal="center" vertical="center" readingOrder="2"/>
    </xf>
    <xf numFmtId="1" fontId="53" fillId="77" borderId="2" xfId="0" applyNumberFormat="1" applyFont="1" applyFill="1" applyBorder="1" applyAlignment="1">
      <alignment horizontal="center" vertical="center" readingOrder="2"/>
    </xf>
    <xf numFmtId="1" fontId="53" fillId="77" borderId="8" xfId="0" applyNumberFormat="1" applyFont="1" applyFill="1" applyBorder="1" applyAlignment="1">
      <alignment horizontal="center" vertical="center" readingOrder="2"/>
    </xf>
    <xf numFmtId="1" fontId="53" fillId="0" borderId="2" xfId="0" applyNumberFormat="1" applyFont="1" applyBorder="1" applyAlignment="1">
      <alignment horizontal="center" vertical="center" readingOrder="1"/>
    </xf>
    <xf numFmtId="0" fontId="63" fillId="0" borderId="2" xfId="17" applyBorder="1" applyAlignment="1">
      <alignment horizontal="center" vertical="center"/>
    </xf>
    <xf numFmtId="0" fontId="47" fillId="70" borderId="4" xfId="0" applyFont="1" applyFill="1" applyBorder="1" applyAlignment="1">
      <alignment horizontal="center" vertical="center" readingOrder="2"/>
    </xf>
    <xf numFmtId="0" fontId="47" fillId="64" borderId="3" xfId="0" applyFont="1" applyFill="1" applyBorder="1" applyAlignment="1">
      <alignment horizontal="center" vertical="center" readingOrder="2"/>
    </xf>
    <xf numFmtId="0" fontId="47" fillId="64" borderId="4" xfId="0" applyFont="1" applyFill="1" applyBorder="1" applyAlignment="1">
      <alignment horizontal="center" vertical="center" readingOrder="2"/>
    </xf>
    <xf numFmtId="49" fontId="114" fillId="0" borderId="2" xfId="0" applyNumberFormat="1" applyFont="1" applyBorder="1" applyAlignment="1">
      <alignment horizontal="center" vertical="center" readingOrder="1"/>
    </xf>
    <xf numFmtId="49" fontId="114" fillId="0" borderId="2" xfId="13" applyNumberFormat="1" applyFont="1" applyBorder="1" applyAlignment="1">
      <alignment horizontal="center" vertical="center" readingOrder="1"/>
    </xf>
    <xf numFmtId="167" fontId="115" fillId="0" borderId="2" xfId="0" applyNumberFormat="1" applyFont="1" applyBorder="1" applyAlignment="1">
      <alignment horizontal="center" vertical="center" readingOrder="1"/>
    </xf>
    <xf numFmtId="0" fontId="77" fillId="0" borderId="0" xfId="0" applyFont="1"/>
    <xf numFmtId="49" fontId="116" fillId="0" borderId="2" xfId="0" applyNumberFormat="1" applyFont="1" applyBorder="1" applyAlignment="1">
      <alignment horizontal="center" vertical="center" wrapText="1" readingOrder="1"/>
    </xf>
    <xf numFmtId="49" fontId="117" fillId="0" borderId="2" xfId="0" applyNumberFormat="1" applyFont="1" applyBorder="1" applyAlignment="1">
      <alignment horizontal="center" vertical="center" wrapText="1" readingOrder="1"/>
    </xf>
    <xf numFmtId="167" fontId="118" fillId="0" borderId="2" xfId="0" applyNumberFormat="1" applyFont="1" applyBorder="1" applyAlignment="1">
      <alignment horizontal="center" vertical="center" readingOrder="1"/>
    </xf>
    <xf numFmtId="0" fontId="119" fillId="0" borderId="2" xfId="0" applyFont="1" applyBorder="1" applyAlignment="1">
      <alignment horizontal="center"/>
    </xf>
    <xf numFmtId="0" fontId="77" fillId="0" borderId="2" xfId="0" applyFont="1" applyBorder="1" applyAlignment="1">
      <alignment horizontal="center"/>
    </xf>
    <xf numFmtId="0" fontId="77" fillId="0" borderId="2" xfId="0" applyFont="1" applyBorder="1"/>
    <xf numFmtId="14" fontId="114" fillId="0" borderId="2" xfId="0" applyNumberFormat="1" applyFont="1" applyBorder="1" applyAlignment="1">
      <alignment horizontal="center" vertical="center" readingOrder="1"/>
    </xf>
    <xf numFmtId="0" fontId="77" fillId="0" borderId="2" xfId="0" applyFont="1" applyBorder="1" applyAlignment="1">
      <alignment horizontal="center" vertical="center" readingOrder="2"/>
    </xf>
    <xf numFmtId="0" fontId="77" fillId="0" borderId="0" xfId="0" applyFont="1" applyAlignment="1">
      <alignment horizontal="center"/>
    </xf>
    <xf numFmtId="14" fontId="115" fillId="0" borderId="2" xfId="0" applyNumberFormat="1" applyFont="1" applyBorder="1" applyAlignment="1">
      <alignment horizontal="center" vertical="center" readingOrder="1"/>
    </xf>
    <xf numFmtId="0" fontId="120" fillId="0" borderId="2" xfId="0" applyFont="1" applyBorder="1" applyAlignment="1">
      <alignment horizontal="center"/>
    </xf>
    <xf numFmtId="0" fontId="120" fillId="0" borderId="0" xfId="0" applyFont="1" applyAlignment="1">
      <alignment horizontal="center"/>
    </xf>
    <xf numFmtId="1" fontId="5" fillId="0" borderId="2" xfId="0" applyNumberFormat="1" applyFont="1" applyBorder="1" applyAlignment="1">
      <alignment horizontal="center" vertical="center"/>
    </xf>
    <xf numFmtId="1" fontId="5" fillId="42" borderId="2" xfId="0" applyNumberFormat="1" applyFont="1" applyFill="1" applyBorder="1" applyAlignment="1">
      <alignment horizontal="center" vertical="center"/>
    </xf>
    <xf numFmtId="1" fontId="8" fillId="42" borderId="2" xfId="0" applyNumberFormat="1" applyFont="1" applyFill="1" applyBorder="1" applyAlignment="1">
      <alignment horizontal="center" vertical="center"/>
    </xf>
    <xf numFmtId="0" fontId="20" fillId="0" borderId="0" xfId="0" applyFont="1" applyAlignment="1">
      <alignment horizontal="center" vertical="center"/>
    </xf>
    <xf numFmtId="0" fontId="53" fillId="39" borderId="2" xfId="0" applyFont="1" applyFill="1" applyBorder="1" applyAlignment="1">
      <alignment horizontal="center" vertical="center" readingOrder="2"/>
    </xf>
    <xf numFmtId="0" fontId="53" fillId="39" borderId="60" xfId="0" applyFont="1" applyFill="1" applyBorder="1" applyAlignment="1">
      <alignment horizontal="center" vertical="center" readingOrder="2"/>
    </xf>
    <xf numFmtId="1" fontId="51" fillId="0" borderId="2" xfId="0" applyNumberFormat="1" applyFont="1" applyBorder="1" applyAlignment="1">
      <alignment horizontal="center" vertical="center" wrapText="1"/>
    </xf>
    <xf numFmtId="1" fontId="22" fillId="0" borderId="32" xfId="0" applyNumberFormat="1" applyFont="1" applyBorder="1" applyAlignment="1">
      <alignment horizontal="center" vertical="center" wrapText="1"/>
    </xf>
    <xf numFmtId="1" fontId="7" fillId="0" borderId="2" xfId="14" applyNumberFormat="1" applyFont="1" applyBorder="1" applyAlignment="1">
      <alignment horizontal="center" vertical="center"/>
    </xf>
    <xf numFmtId="0" fontId="7" fillId="6" borderId="13" xfId="14" applyFont="1" applyFill="1" applyBorder="1" applyAlignment="1">
      <alignment horizontal="center" vertical="center"/>
    </xf>
    <xf numFmtId="0" fontId="7" fillId="6" borderId="7" xfId="14" applyFont="1" applyFill="1" applyBorder="1" applyAlignment="1">
      <alignment horizontal="center" vertical="center"/>
    </xf>
    <xf numFmtId="0" fontId="7" fillId="0" borderId="0" xfId="14" applyFont="1" applyAlignment="1">
      <alignment horizontal="center" vertical="center"/>
    </xf>
    <xf numFmtId="1" fontId="9" fillId="0" borderId="0" xfId="14" applyNumberFormat="1" applyFont="1" applyAlignment="1">
      <alignment horizontal="center" vertical="center"/>
    </xf>
    <xf numFmtId="1" fontId="7" fillId="0" borderId="4" xfId="14" applyNumberFormat="1" applyFont="1" applyBorder="1" applyAlignment="1">
      <alignment horizontal="center" vertical="center"/>
    </xf>
    <xf numFmtId="0" fontId="7" fillId="0" borderId="0" xfId="14" applyFont="1" applyAlignment="1">
      <alignment vertical="center"/>
    </xf>
    <xf numFmtId="0" fontId="7" fillId="0" borderId="2" xfId="14" applyFont="1" applyBorder="1" applyAlignment="1">
      <alignment horizontal="center" vertical="center"/>
    </xf>
    <xf numFmtId="0" fontId="9" fillId="37" borderId="0" xfId="14" applyFont="1" applyFill="1" applyAlignment="1">
      <alignment horizontal="center" vertical="center"/>
    </xf>
    <xf numFmtId="0" fontId="7" fillId="6" borderId="14" xfId="14" applyFont="1" applyFill="1" applyBorder="1" applyAlignment="1">
      <alignment horizontal="center" vertical="center"/>
    </xf>
    <xf numFmtId="0" fontId="7" fillId="15" borderId="10" xfId="14" applyFont="1" applyFill="1" applyBorder="1" applyAlignment="1">
      <alignment horizontal="center" vertical="center"/>
    </xf>
    <xf numFmtId="0" fontId="9" fillId="89" borderId="14" xfId="14" applyFont="1" applyFill="1" applyBorder="1" applyAlignment="1">
      <alignment horizontal="center" vertical="center"/>
    </xf>
    <xf numFmtId="0" fontId="7" fillId="51" borderId="4" xfId="14" applyFont="1" applyFill="1" applyBorder="1" applyAlignment="1">
      <alignment horizontal="center" vertical="center"/>
    </xf>
    <xf numFmtId="0" fontId="9" fillId="89" borderId="4" xfId="14" applyFont="1" applyFill="1" applyBorder="1" applyAlignment="1">
      <alignment horizontal="center" vertical="center"/>
    </xf>
    <xf numFmtId="0" fontId="53" fillId="77" borderId="4" xfId="0" applyFont="1" applyFill="1" applyBorder="1" applyAlignment="1">
      <alignment horizontal="center" vertical="center" readingOrder="1"/>
    </xf>
    <xf numFmtId="0" fontId="121" fillId="41" borderId="2" xfId="0" applyFont="1" applyFill="1" applyBorder="1" applyAlignment="1">
      <alignment horizontal="center" vertical="center" readingOrder="1"/>
    </xf>
    <xf numFmtId="0" fontId="84" fillId="35" borderId="2" xfId="0" applyFont="1" applyFill="1" applyBorder="1" applyAlignment="1">
      <alignment horizontal="center" vertical="center" readingOrder="1"/>
    </xf>
    <xf numFmtId="0" fontId="84" fillId="43" borderId="2" xfId="0" applyFont="1" applyFill="1" applyBorder="1" applyAlignment="1">
      <alignment horizontal="center" vertical="center" readingOrder="1"/>
    </xf>
    <xf numFmtId="1" fontId="84" fillId="35" borderId="2" xfId="0" applyNumberFormat="1" applyFont="1" applyFill="1" applyBorder="1" applyAlignment="1">
      <alignment horizontal="center" vertical="center" readingOrder="1"/>
    </xf>
    <xf numFmtId="0" fontId="36" fillId="34" borderId="52" xfId="0" applyFont="1" applyFill="1" applyBorder="1" applyAlignment="1">
      <alignment horizontal="center" vertical="center" readingOrder="2"/>
    </xf>
    <xf numFmtId="0" fontId="36" fillId="34" borderId="4" xfId="0" applyFont="1" applyFill="1" applyBorder="1" applyAlignment="1">
      <alignment horizontal="center" vertical="center" readingOrder="2"/>
    </xf>
    <xf numFmtId="0" fontId="37" fillId="0" borderId="8" xfId="0" applyFont="1" applyBorder="1" applyAlignment="1">
      <alignment horizontal="center" vertical="center" readingOrder="1"/>
    </xf>
    <xf numFmtId="0" fontId="36" fillId="34" borderId="6" xfId="0" applyFont="1" applyFill="1" applyBorder="1" applyAlignment="1">
      <alignment horizontal="center" vertical="center" readingOrder="2"/>
    </xf>
    <xf numFmtId="0" fontId="38" fillId="0" borderId="4" xfId="0" applyFont="1" applyBorder="1" applyAlignment="1">
      <alignment horizontal="center" vertical="center" readingOrder="2"/>
    </xf>
    <xf numFmtId="0" fontId="39" fillId="0" borderId="2" xfId="0" applyFont="1" applyBorder="1" applyAlignment="1">
      <alignment horizontal="center" vertical="center" wrapText="1" readingOrder="2"/>
    </xf>
    <xf numFmtId="0" fontId="77" fillId="0" borderId="8" xfId="0" applyFont="1" applyBorder="1" applyAlignment="1">
      <alignment horizontal="center" vertical="center"/>
    </xf>
    <xf numFmtId="0" fontId="40" fillId="0" borderId="3" xfId="0" applyFont="1" applyBorder="1" applyAlignment="1">
      <alignment horizontal="center" vertical="center" readingOrder="2"/>
    </xf>
    <xf numFmtId="0" fontId="40" fillId="0" borderId="4" xfId="0" applyFont="1" applyBorder="1" applyAlignment="1">
      <alignment horizontal="center" vertical="center" readingOrder="2"/>
    </xf>
    <xf numFmtId="0" fontId="36" fillId="34" borderId="14" xfId="0" applyFont="1" applyFill="1" applyBorder="1" applyAlignment="1">
      <alignment horizontal="center" vertical="center" readingOrder="2"/>
    </xf>
    <xf numFmtId="0" fontId="40" fillId="0" borderId="10" xfId="0" applyFont="1" applyBorder="1" applyAlignment="1">
      <alignment readingOrder="1"/>
    </xf>
    <xf numFmtId="0" fontId="38" fillId="0" borderId="10" xfId="0" applyFont="1" applyBorder="1" applyAlignment="1">
      <alignment horizontal="center" vertical="center" readingOrder="2"/>
    </xf>
    <xf numFmtId="0" fontId="42" fillId="0" borderId="10" xfId="0" applyFont="1" applyBorder="1" applyAlignment="1">
      <alignment horizontal="right" vertical="center" indent="1" readingOrder="2"/>
    </xf>
    <xf numFmtId="0" fontId="40" fillId="0" borderId="82" xfId="0" applyFont="1" applyBorder="1" applyAlignment="1">
      <alignment horizontal="center" vertical="center" readingOrder="1"/>
    </xf>
    <xf numFmtId="0" fontId="42" fillId="0" borderId="12" xfId="0" applyFont="1" applyBorder="1" applyAlignment="1">
      <alignment horizontal="right" vertical="center" indent="1" readingOrder="2"/>
    </xf>
    <xf numFmtId="0" fontId="42" fillId="0" borderId="3" xfId="0" applyFont="1" applyBorder="1" applyAlignment="1">
      <alignment horizontal="center" vertical="center" readingOrder="2"/>
    </xf>
    <xf numFmtId="0" fontId="42" fillId="0" borderId="3" xfId="0" applyFont="1" applyBorder="1" applyAlignment="1">
      <alignment horizontal="center" vertical="center" readingOrder="1"/>
    </xf>
    <xf numFmtId="0" fontId="37" fillId="0" borderId="3" xfId="0" applyFont="1" applyBorder="1" applyAlignment="1">
      <alignment horizontal="center" vertical="center" readingOrder="1"/>
    </xf>
    <xf numFmtId="0" fontId="40" fillId="0" borderId="15" xfId="0" applyFont="1" applyBorder="1" applyAlignment="1">
      <alignment readingOrder="1"/>
    </xf>
    <xf numFmtId="0" fontId="7" fillId="8" borderId="4" xfId="14" applyFont="1" applyFill="1" applyBorder="1" applyAlignment="1">
      <alignment horizontal="center" vertical="center"/>
    </xf>
    <xf numFmtId="0" fontId="9" fillId="37" borderId="4" xfId="14" applyFont="1" applyFill="1" applyBorder="1" applyAlignment="1">
      <alignment horizontal="center" vertical="center"/>
    </xf>
    <xf numFmtId="0" fontId="7" fillId="40" borderId="2" xfId="0" applyFont="1" applyFill="1" applyBorder="1" applyAlignment="1">
      <alignment horizontal="center" vertical="center"/>
    </xf>
    <xf numFmtId="0" fontId="7" fillId="0" borderId="0" xfId="0" applyFont="1" applyAlignment="1">
      <alignment horizontal="center" vertical="center"/>
    </xf>
    <xf numFmtId="170" fontId="6" fillId="0" borderId="2" xfId="0" applyNumberFormat="1" applyFont="1" applyBorder="1" applyAlignment="1">
      <alignment horizontal="center" vertical="center"/>
    </xf>
    <xf numFmtId="1" fontId="7" fillId="92" borderId="2" xfId="0" applyNumberFormat="1" applyFont="1" applyFill="1" applyBorder="1" applyAlignment="1">
      <alignment horizontal="center" vertical="center"/>
    </xf>
    <xf numFmtId="1" fontId="7" fillId="25" borderId="2" xfId="0" applyNumberFormat="1" applyFont="1" applyFill="1" applyBorder="1" applyAlignment="1">
      <alignment horizontal="center" vertical="center"/>
    </xf>
    <xf numFmtId="1" fontId="7" fillId="93" borderId="2" xfId="0" applyNumberFormat="1" applyFont="1" applyFill="1" applyBorder="1" applyAlignment="1">
      <alignment horizontal="center" vertical="center"/>
    </xf>
    <xf numFmtId="170" fontId="6" fillId="25" borderId="2" xfId="0" applyNumberFormat="1" applyFont="1" applyFill="1" applyBorder="1" applyAlignment="1">
      <alignment horizontal="center" vertical="center"/>
    </xf>
    <xf numFmtId="170" fontId="6" fillId="9" borderId="2" xfId="0" applyNumberFormat="1" applyFont="1" applyFill="1" applyBorder="1" applyAlignment="1">
      <alignment horizontal="center" vertical="center"/>
    </xf>
    <xf numFmtId="1" fontId="7" fillId="9" borderId="2" xfId="0" applyNumberFormat="1" applyFont="1" applyFill="1" applyBorder="1" applyAlignment="1">
      <alignment horizontal="center" vertical="center"/>
    </xf>
    <xf numFmtId="170" fontId="6" fillId="94" borderId="2" xfId="0" applyNumberFormat="1" applyFont="1" applyFill="1" applyBorder="1" applyAlignment="1">
      <alignment horizontal="center" vertical="center"/>
    </xf>
    <xf numFmtId="1" fontId="7" fillId="94" borderId="2" xfId="0" applyNumberFormat="1" applyFont="1" applyFill="1" applyBorder="1" applyAlignment="1">
      <alignment horizontal="center" vertical="center"/>
    </xf>
    <xf numFmtId="170" fontId="6" fillId="8" borderId="2" xfId="0" applyNumberFormat="1" applyFont="1" applyFill="1" applyBorder="1" applyAlignment="1">
      <alignment horizontal="center" vertical="center"/>
    </xf>
    <xf numFmtId="1" fontId="7" fillId="8" borderId="2" xfId="0" applyNumberFormat="1" applyFont="1" applyFill="1" applyBorder="1" applyAlignment="1">
      <alignment horizontal="center" vertical="center"/>
    </xf>
    <xf numFmtId="0" fontId="77" fillId="0" borderId="10" xfId="0" applyFont="1" applyBorder="1" applyAlignment="1">
      <alignment horizontal="center" vertical="center"/>
    </xf>
    <xf numFmtId="0" fontId="42" fillId="18" borderId="0" xfId="0" applyFont="1" applyFill="1" applyAlignment="1">
      <alignment horizontal="center" vertical="center" readingOrder="2"/>
    </xf>
    <xf numFmtId="1" fontId="74" fillId="74" borderId="3" xfId="0" applyNumberFormat="1" applyFont="1" applyFill="1" applyBorder="1" applyAlignment="1">
      <alignment horizontal="center" vertical="center" readingOrder="2"/>
    </xf>
    <xf numFmtId="0" fontId="74" fillId="74" borderId="6" xfId="0" applyFont="1" applyFill="1" applyBorder="1" applyAlignment="1">
      <alignment horizontal="center" vertical="center" readingOrder="2"/>
    </xf>
    <xf numFmtId="0" fontId="74" fillId="74" borderId="4" xfId="0" applyFont="1" applyFill="1" applyBorder="1" applyAlignment="1">
      <alignment horizontal="center" vertical="center" readingOrder="2"/>
    </xf>
    <xf numFmtId="0" fontId="47" fillId="66" borderId="8" xfId="0" applyFont="1" applyFill="1" applyBorder="1" applyAlignment="1">
      <alignment horizontal="center" vertical="center" readingOrder="2"/>
    </xf>
    <xf numFmtId="0" fontId="47" fillId="66" borderId="9" xfId="0" applyFont="1" applyFill="1" applyBorder="1" applyAlignment="1">
      <alignment horizontal="center" vertical="center" readingOrder="2"/>
    </xf>
    <xf numFmtId="0" fontId="47" fillId="66" borderId="10" xfId="0" applyFont="1" applyFill="1" applyBorder="1" applyAlignment="1">
      <alignment horizontal="center" vertical="center" readingOrder="2"/>
    </xf>
    <xf numFmtId="0" fontId="53" fillId="33" borderId="3" xfId="0" applyFont="1" applyFill="1" applyBorder="1" applyAlignment="1">
      <alignment horizontal="center" vertical="center" readingOrder="2"/>
    </xf>
    <xf numFmtId="0" fontId="53" fillId="33" borderId="6" xfId="0" applyFont="1" applyFill="1" applyBorder="1" applyAlignment="1">
      <alignment horizontal="center" vertical="center" readingOrder="2"/>
    </xf>
    <xf numFmtId="0" fontId="53" fillId="33" borderId="4" xfId="0" applyFont="1" applyFill="1" applyBorder="1" applyAlignment="1">
      <alignment horizontal="center" vertical="center" readingOrder="2"/>
    </xf>
    <xf numFmtId="0" fontId="47" fillId="69" borderId="8" xfId="0" applyFont="1" applyFill="1" applyBorder="1" applyAlignment="1">
      <alignment horizontal="center" vertical="center" readingOrder="2"/>
    </xf>
    <xf numFmtId="0" fontId="47" fillId="69" borderId="10" xfId="0" applyFont="1" applyFill="1" applyBorder="1" applyAlignment="1">
      <alignment horizontal="center" vertical="center" readingOrder="2"/>
    </xf>
    <xf numFmtId="0" fontId="74" fillId="63" borderId="12" xfId="0" applyFont="1" applyFill="1" applyBorder="1" applyAlignment="1">
      <alignment horizontal="center" vertical="center" readingOrder="2"/>
    </xf>
    <xf numFmtId="0" fontId="74" fillId="63" borderId="5" xfId="0" applyFont="1" applyFill="1" applyBorder="1" applyAlignment="1">
      <alignment horizontal="center" vertical="center" readingOrder="2"/>
    </xf>
    <xf numFmtId="0" fontId="74" fillId="63" borderId="15" xfId="0" applyFont="1" applyFill="1" applyBorder="1" applyAlignment="1">
      <alignment horizontal="center" vertical="center" readingOrder="2"/>
    </xf>
    <xf numFmtId="0" fontId="74" fillId="63" borderId="11" xfId="0" applyFont="1" applyFill="1" applyBorder="1" applyAlignment="1">
      <alignment horizontal="center" vertical="center" readingOrder="2"/>
    </xf>
    <xf numFmtId="0" fontId="74" fillId="63" borderId="0" xfId="0" applyFont="1" applyFill="1" applyAlignment="1">
      <alignment horizontal="center" vertical="center" readingOrder="2"/>
    </xf>
    <xf numFmtId="0" fontId="74" fillId="63" borderId="16" xfId="0" applyFont="1" applyFill="1" applyBorder="1" applyAlignment="1">
      <alignment horizontal="center" vertical="center" readingOrder="2"/>
    </xf>
    <xf numFmtId="0" fontId="74" fillId="63" borderId="13" xfId="0" applyFont="1" applyFill="1" applyBorder="1" applyAlignment="1">
      <alignment horizontal="center" vertical="center" readingOrder="2"/>
    </xf>
    <xf numFmtId="0" fontId="74" fillId="63" borderId="7" xfId="0" applyFont="1" applyFill="1" applyBorder="1" applyAlignment="1">
      <alignment horizontal="center" vertical="center" readingOrder="2"/>
    </xf>
    <xf numFmtId="0" fontId="74" fillId="63" borderId="14" xfId="0" applyFont="1" applyFill="1" applyBorder="1" applyAlignment="1">
      <alignment horizontal="center" vertical="center" readingOrder="2"/>
    </xf>
    <xf numFmtId="0" fontId="74" fillId="63" borderId="12" xfId="0" applyFont="1" applyFill="1" applyBorder="1" applyAlignment="1">
      <alignment horizontal="center" vertical="center" wrapText="1" readingOrder="2"/>
    </xf>
    <xf numFmtId="0" fontId="74" fillId="63" borderId="5" xfId="0" applyFont="1" applyFill="1" applyBorder="1" applyAlignment="1">
      <alignment horizontal="center" vertical="center" wrapText="1" readingOrder="2"/>
    </xf>
    <xf numFmtId="0" fontId="74" fillId="63" borderId="15" xfId="0" applyFont="1" applyFill="1" applyBorder="1" applyAlignment="1">
      <alignment horizontal="center" vertical="center" wrapText="1" readingOrder="2"/>
    </xf>
    <xf numFmtId="0" fontId="74" fillId="63" borderId="11" xfId="0" applyFont="1" applyFill="1" applyBorder="1" applyAlignment="1">
      <alignment horizontal="center" vertical="center" wrapText="1" readingOrder="2"/>
    </xf>
    <xf numFmtId="0" fontId="74" fillId="63" borderId="0" xfId="0" applyFont="1" applyFill="1" applyAlignment="1">
      <alignment horizontal="center" vertical="center" wrapText="1" readingOrder="2"/>
    </xf>
    <xf numFmtId="0" fontId="74" fillId="63" borderId="16" xfId="0" applyFont="1" applyFill="1" applyBorder="1" applyAlignment="1">
      <alignment horizontal="center" vertical="center" wrapText="1" readingOrder="2"/>
    </xf>
    <xf numFmtId="0" fontId="74" fillId="63" borderId="13" xfId="0" applyFont="1" applyFill="1" applyBorder="1" applyAlignment="1">
      <alignment horizontal="center" vertical="center" wrapText="1" readingOrder="2"/>
    </xf>
    <xf numFmtId="0" fontId="74" fillId="63" borderId="7" xfId="0" applyFont="1" applyFill="1" applyBorder="1" applyAlignment="1">
      <alignment horizontal="center" vertical="center" wrapText="1" readingOrder="2"/>
    </xf>
    <xf numFmtId="0" fontId="74" fillId="63" borderId="14" xfId="0" applyFont="1" applyFill="1" applyBorder="1" applyAlignment="1">
      <alignment horizontal="center" vertical="center" wrapText="1" readingOrder="2"/>
    </xf>
    <xf numFmtId="0" fontId="47" fillId="69" borderId="2" xfId="0" applyFont="1" applyFill="1" applyBorder="1" applyAlignment="1">
      <alignment horizontal="center" vertical="center" readingOrder="2"/>
    </xf>
    <xf numFmtId="0" fontId="53" fillId="68" borderId="3" xfId="0" applyFont="1" applyFill="1" applyBorder="1" applyAlignment="1">
      <alignment horizontal="center" vertical="center" readingOrder="2"/>
    </xf>
    <xf numFmtId="0" fontId="53" fillId="68" borderId="6" xfId="0" applyFont="1" applyFill="1" applyBorder="1" applyAlignment="1">
      <alignment horizontal="center" vertical="center" readingOrder="2"/>
    </xf>
    <xf numFmtId="0" fontId="53" fillId="68" borderId="4" xfId="0" applyFont="1" applyFill="1" applyBorder="1" applyAlignment="1">
      <alignment horizontal="center" vertical="center" readingOrder="2"/>
    </xf>
    <xf numFmtId="0" fontId="47" fillId="69" borderId="3" xfId="0" applyFont="1" applyFill="1" applyBorder="1" applyAlignment="1">
      <alignment horizontal="center" vertical="center" readingOrder="2"/>
    </xf>
    <xf numFmtId="0" fontId="47" fillId="69" borderId="6" xfId="0" applyFont="1" applyFill="1" applyBorder="1" applyAlignment="1">
      <alignment horizontal="center" vertical="center" readingOrder="2"/>
    </xf>
    <xf numFmtId="0" fontId="47" fillId="69" borderId="4" xfId="0" applyFont="1" applyFill="1" applyBorder="1" applyAlignment="1">
      <alignment horizontal="center" vertical="center" readingOrder="2"/>
    </xf>
    <xf numFmtId="0" fontId="53" fillId="72" borderId="3" xfId="0" applyFont="1" applyFill="1" applyBorder="1" applyAlignment="1">
      <alignment horizontal="center" vertical="center" readingOrder="2"/>
    </xf>
    <xf numFmtId="0" fontId="53" fillId="72" borderId="6" xfId="0" applyFont="1" applyFill="1" applyBorder="1" applyAlignment="1">
      <alignment horizontal="center" vertical="center" readingOrder="2"/>
    </xf>
    <xf numFmtId="0" fontId="53" fillId="72" borderId="4" xfId="0" applyFont="1" applyFill="1" applyBorder="1" applyAlignment="1">
      <alignment horizontal="center" vertical="center" readingOrder="2"/>
    </xf>
    <xf numFmtId="0" fontId="53" fillId="67" borderId="3" xfId="0" applyFont="1" applyFill="1" applyBorder="1" applyAlignment="1">
      <alignment horizontal="center" vertical="center" readingOrder="2"/>
    </xf>
    <xf numFmtId="0" fontId="53" fillId="67" borderId="6" xfId="0" applyFont="1" applyFill="1" applyBorder="1" applyAlignment="1">
      <alignment horizontal="center" vertical="center" readingOrder="2"/>
    </xf>
    <xf numFmtId="0" fontId="47" fillId="69" borderId="12" xfId="0" applyFont="1" applyFill="1" applyBorder="1" applyAlignment="1">
      <alignment horizontal="center" vertical="center" readingOrder="2"/>
    </xf>
    <xf numFmtId="0" fontId="47" fillId="69" borderId="15" xfId="0" applyFont="1" applyFill="1" applyBorder="1" applyAlignment="1">
      <alignment horizontal="center" vertical="center" readingOrder="2"/>
    </xf>
    <xf numFmtId="0" fontId="37" fillId="63" borderId="8" xfId="0" applyFont="1" applyFill="1" applyBorder="1" applyAlignment="1">
      <alignment horizontal="center" vertical="center" wrapText="1" readingOrder="2"/>
    </xf>
    <xf numFmtId="0" fontId="37" fillId="63" borderId="10" xfId="0" applyFont="1" applyFill="1" applyBorder="1" applyAlignment="1">
      <alignment horizontal="center" vertical="center" wrapText="1" readingOrder="2"/>
    </xf>
    <xf numFmtId="0" fontId="47" fillId="76" borderId="15" xfId="0" applyFont="1" applyFill="1" applyBorder="1" applyAlignment="1">
      <alignment horizontal="center" vertical="center" readingOrder="2"/>
    </xf>
    <xf numFmtId="0" fontId="47" fillId="76" borderId="14" xfId="0" applyFont="1" applyFill="1" applyBorder="1" applyAlignment="1">
      <alignment horizontal="center" vertical="center" readingOrder="2"/>
    </xf>
    <xf numFmtId="0" fontId="53" fillId="75" borderId="8" xfId="0" applyFont="1" applyFill="1" applyBorder="1" applyAlignment="1">
      <alignment horizontal="center" vertical="center" readingOrder="2"/>
    </xf>
    <xf numFmtId="0" fontId="53" fillId="75" borderId="9" xfId="0" applyFont="1" applyFill="1" applyBorder="1" applyAlignment="1">
      <alignment horizontal="center" vertical="center" readingOrder="2"/>
    </xf>
    <xf numFmtId="0" fontId="84" fillId="71" borderId="12" xfId="0" applyFont="1" applyFill="1" applyBorder="1" applyAlignment="1">
      <alignment horizontal="center" vertical="center" wrapText="1" readingOrder="2"/>
    </xf>
    <xf numFmtId="0" fontId="84" fillId="71" borderId="5" xfId="0" applyFont="1" applyFill="1" applyBorder="1" applyAlignment="1">
      <alignment horizontal="center" vertical="center" wrapText="1" readingOrder="2"/>
    </xf>
    <xf numFmtId="0" fontId="84" fillId="71" borderId="11" xfId="0" applyFont="1" applyFill="1" applyBorder="1" applyAlignment="1">
      <alignment horizontal="center" vertical="center" wrapText="1" readingOrder="2"/>
    </xf>
    <xf numFmtId="0" fontId="84" fillId="71" borderId="0" xfId="0" applyFont="1" applyFill="1" applyAlignment="1">
      <alignment horizontal="center" vertical="center" wrapText="1" readingOrder="2"/>
    </xf>
    <xf numFmtId="0" fontId="53" fillId="73" borderId="3" xfId="0" applyFont="1" applyFill="1" applyBorder="1" applyAlignment="1">
      <alignment horizontal="center" vertical="center" readingOrder="2"/>
    </xf>
    <xf numFmtId="0" fontId="53" fillId="73" borderId="6" xfId="0" applyFont="1" applyFill="1" applyBorder="1" applyAlignment="1">
      <alignment horizontal="center" vertical="center" readingOrder="2"/>
    </xf>
    <xf numFmtId="0" fontId="53" fillId="73" borderId="4" xfId="0" applyFont="1" applyFill="1" applyBorder="1" applyAlignment="1">
      <alignment horizontal="center" vertical="center" readingOrder="2"/>
    </xf>
    <xf numFmtId="0" fontId="74" fillId="74" borderId="12" xfId="0" applyFont="1" applyFill="1" applyBorder="1" applyAlignment="1">
      <alignment horizontal="center" vertical="center" wrapText="1" readingOrder="2"/>
    </xf>
    <xf numFmtId="0" fontId="74" fillId="74" borderId="5" xfId="0" applyFont="1" applyFill="1" applyBorder="1" applyAlignment="1">
      <alignment horizontal="center" vertical="center" wrapText="1" readingOrder="2"/>
    </xf>
    <xf numFmtId="0" fontId="74" fillId="74" borderId="15" xfId="0" applyFont="1" applyFill="1" applyBorder="1" applyAlignment="1">
      <alignment horizontal="center" vertical="center" wrapText="1" readingOrder="2"/>
    </xf>
    <xf numFmtId="0" fontId="74" fillId="74" borderId="11" xfId="0" applyFont="1" applyFill="1" applyBorder="1" applyAlignment="1">
      <alignment horizontal="center" vertical="center" wrapText="1" readingOrder="2"/>
    </xf>
    <xf numFmtId="0" fontId="74" fillId="74" borderId="0" xfId="0" applyFont="1" applyFill="1" applyAlignment="1">
      <alignment horizontal="center" vertical="center" wrapText="1" readingOrder="2"/>
    </xf>
    <xf numFmtId="0" fontId="74" fillId="74" borderId="16" xfId="0" applyFont="1" applyFill="1" applyBorder="1" applyAlignment="1">
      <alignment horizontal="center" vertical="center" wrapText="1" readingOrder="2"/>
    </xf>
    <xf numFmtId="0" fontId="74" fillId="74" borderId="13" xfId="0" applyFont="1" applyFill="1" applyBorder="1" applyAlignment="1">
      <alignment horizontal="center" vertical="center" wrapText="1" readingOrder="2"/>
    </xf>
    <xf numFmtId="0" fontId="74" fillId="74" borderId="7" xfId="0" applyFont="1" applyFill="1" applyBorder="1" applyAlignment="1">
      <alignment horizontal="center" vertical="center" wrapText="1" readingOrder="2"/>
    </xf>
    <xf numFmtId="0" fontId="74" fillId="74" borderId="14" xfId="0" applyFont="1" applyFill="1" applyBorder="1" applyAlignment="1">
      <alignment horizontal="center" vertical="center" wrapText="1" readingOrder="2"/>
    </xf>
    <xf numFmtId="0" fontId="84" fillId="62" borderId="8" xfId="0" applyFont="1" applyFill="1" applyBorder="1" applyAlignment="1">
      <alignment horizontal="center" vertical="center" readingOrder="2"/>
    </xf>
    <xf numFmtId="0" fontId="84" fillId="62" borderId="9" xfId="0" applyFont="1" applyFill="1" applyBorder="1" applyAlignment="1">
      <alignment horizontal="center" vertical="center" readingOrder="2"/>
    </xf>
    <xf numFmtId="0" fontId="84" fillId="62" borderId="10" xfId="0" applyFont="1" applyFill="1" applyBorder="1" applyAlignment="1">
      <alignment horizontal="center" vertical="center" readingOrder="2"/>
    </xf>
    <xf numFmtId="0" fontId="16" fillId="63" borderId="12" xfId="0" applyFont="1" applyFill="1" applyBorder="1" applyAlignment="1">
      <alignment horizontal="center" vertical="center" wrapText="1" readingOrder="1"/>
    </xf>
    <xf numFmtId="0" fontId="16" fillId="63" borderId="5" xfId="0" applyFont="1" applyFill="1" applyBorder="1" applyAlignment="1">
      <alignment horizontal="center" vertical="center" wrapText="1" readingOrder="1"/>
    </xf>
    <xf numFmtId="0" fontId="16" fillId="63" borderId="15" xfId="0" applyFont="1" applyFill="1" applyBorder="1" applyAlignment="1">
      <alignment horizontal="center" vertical="center" wrapText="1" readingOrder="1"/>
    </xf>
    <xf numFmtId="0" fontId="16" fillId="63" borderId="11" xfId="0" applyFont="1" applyFill="1" applyBorder="1" applyAlignment="1">
      <alignment horizontal="center" vertical="center" wrapText="1" readingOrder="1"/>
    </xf>
    <xf numFmtId="0" fontId="16" fillId="63" borderId="0" xfId="0" applyFont="1" applyFill="1" applyAlignment="1">
      <alignment horizontal="center" vertical="center" wrapText="1" readingOrder="1"/>
    </xf>
    <xf numFmtId="0" fontId="16" fillId="63" borderId="16" xfId="0" applyFont="1" applyFill="1" applyBorder="1" applyAlignment="1">
      <alignment horizontal="center" vertical="center" wrapText="1" readingOrder="1"/>
    </xf>
    <xf numFmtId="0" fontId="16" fillId="63" borderId="13" xfId="0" applyFont="1" applyFill="1" applyBorder="1" applyAlignment="1">
      <alignment horizontal="center" vertical="center" wrapText="1" readingOrder="1"/>
    </xf>
    <xf numFmtId="0" fontId="16" fillId="63" borderId="7" xfId="0" applyFont="1" applyFill="1" applyBorder="1" applyAlignment="1">
      <alignment horizontal="center" vertical="center" wrapText="1" readingOrder="1"/>
    </xf>
    <xf numFmtId="0" fontId="16" fillId="63" borderId="14" xfId="0" applyFont="1" applyFill="1" applyBorder="1" applyAlignment="1">
      <alignment horizontal="center" vertical="center" wrapText="1" readingOrder="1"/>
    </xf>
    <xf numFmtId="0" fontId="53" fillId="69" borderId="12" xfId="0" applyFont="1" applyFill="1" applyBorder="1" applyAlignment="1">
      <alignment horizontal="center" vertical="center" readingOrder="2"/>
    </xf>
    <xf numFmtId="0" fontId="53" fillId="69" borderId="11" xfId="0" applyFont="1" applyFill="1" applyBorder="1" applyAlignment="1">
      <alignment horizontal="center" vertical="center" readingOrder="2"/>
    </xf>
    <xf numFmtId="0" fontId="53" fillId="69" borderId="13" xfId="0" applyFont="1" applyFill="1" applyBorder="1" applyAlignment="1">
      <alignment horizontal="center" vertical="center" readingOrder="2"/>
    </xf>
    <xf numFmtId="0" fontId="47" fillId="66" borderId="7" xfId="0" applyFont="1" applyFill="1" applyBorder="1" applyAlignment="1">
      <alignment horizontal="center" vertical="center" readingOrder="2"/>
    </xf>
    <xf numFmtId="0" fontId="47" fillId="66" borderId="14" xfId="0" applyFont="1" applyFill="1" applyBorder="1" applyAlignment="1">
      <alignment horizontal="center" vertical="center" readingOrder="2"/>
    </xf>
    <xf numFmtId="0" fontId="47" fillId="33" borderId="3" xfId="0" applyFont="1" applyFill="1" applyBorder="1" applyAlignment="1">
      <alignment horizontal="center" vertical="center" readingOrder="2"/>
    </xf>
    <xf numFmtId="0" fontId="47" fillId="33" borderId="6" xfId="0" applyFont="1" applyFill="1" applyBorder="1" applyAlignment="1">
      <alignment horizontal="center" vertical="center" readingOrder="2"/>
    </xf>
    <xf numFmtId="0" fontId="47" fillId="33" borderId="4" xfId="0" applyFont="1" applyFill="1" applyBorder="1" applyAlignment="1">
      <alignment horizontal="center" vertical="center" readingOrder="2"/>
    </xf>
    <xf numFmtId="0" fontId="47" fillId="66" borderId="13" xfId="0" applyFont="1" applyFill="1" applyBorder="1" applyAlignment="1">
      <alignment horizontal="center" vertical="center" readingOrder="2"/>
    </xf>
    <xf numFmtId="0" fontId="17" fillId="26" borderId="30" xfId="0" applyFont="1" applyFill="1" applyBorder="1" applyAlignment="1">
      <alignment horizontal="center" vertical="center" wrapText="1" readingOrder="2"/>
    </xf>
    <xf numFmtId="0" fontId="17" fillId="26" borderId="31" xfId="0" applyFont="1" applyFill="1" applyBorder="1" applyAlignment="1">
      <alignment horizontal="center" vertical="center" wrapText="1" readingOrder="2"/>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xf numFmtId="0" fontId="7" fillId="42" borderId="2" xfId="0" applyFont="1" applyFill="1" applyBorder="1" applyAlignment="1">
      <alignment horizontal="center" vertical="center"/>
    </xf>
    <xf numFmtId="0" fontId="5" fillId="0" borderId="0" xfId="0" applyFont="1" applyAlignment="1">
      <alignment horizontal="center" vertical="center"/>
    </xf>
    <xf numFmtId="0" fontId="35" fillId="33" borderId="2" xfId="0" applyFont="1" applyFill="1" applyBorder="1" applyAlignment="1">
      <alignment horizontal="center" vertical="center" readingOrder="2"/>
    </xf>
    <xf numFmtId="0" fontId="0" fillId="6" borderId="8"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7" fillId="6" borderId="2" xfId="0" applyFont="1" applyFill="1" applyBorder="1" applyAlignment="1">
      <alignment horizontal="center" vertical="center"/>
    </xf>
    <xf numFmtId="0" fontId="8" fillId="0" borderId="0" xfId="0" applyFont="1" applyAlignment="1">
      <alignment horizontal="center" vertical="center"/>
    </xf>
    <xf numFmtId="0" fontId="5" fillId="0" borderId="2" xfId="0" applyFont="1" applyBorder="1" applyAlignment="1">
      <alignment horizontal="center" vertical="center" wrapText="1"/>
    </xf>
    <xf numFmtId="0" fontId="35" fillId="33" borderId="10" xfId="0" applyFont="1" applyFill="1" applyBorder="1" applyAlignment="1">
      <alignment horizontal="center" vertical="center" readingOrder="2"/>
    </xf>
    <xf numFmtId="0" fontId="7" fillId="54" borderId="2" xfId="0" applyFont="1" applyFill="1" applyBorder="1" applyAlignment="1">
      <alignment horizontal="center" vertical="center"/>
    </xf>
    <xf numFmtId="0" fontId="7" fillId="54" borderId="3" xfId="0" applyFont="1" applyFill="1" applyBorder="1" applyAlignment="1">
      <alignment horizontal="center" vertical="center"/>
    </xf>
    <xf numFmtId="0" fontId="7" fillId="54" borderId="4" xfId="0" applyFont="1" applyFill="1" applyBorder="1" applyAlignment="1">
      <alignment horizontal="center" vertical="center"/>
    </xf>
    <xf numFmtId="0" fontId="7" fillId="13" borderId="2" xfId="0" applyFont="1" applyFill="1" applyBorder="1" applyAlignment="1">
      <alignment horizontal="center" vertical="center"/>
    </xf>
    <xf numFmtId="0" fontId="46" fillId="36" borderId="54" xfId="0" applyFont="1" applyFill="1" applyBorder="1" applyAlignment="1">
      <alignment horizontal="center" vertical="center" readingOrder="2"/>
    </xf>
    <xf numFmtId="0" fontId="46" fillId="36" borderId="50" xfId="0" applyFont="1" applyFill="1" applyBorder="1" applyAlignment="1">
      <alignment horizontal="center" vertical="center" readingOrder="2"/>
    </xf>
    <xf numFmtId="0" fontId="46" fillId="36" borderId="81" xfId="0" applyFont="1" applyFill="1" applyBorder="1" applyAlignment="1">
      <alignment horizontal="center" vertical="center" readingOrder="2"/>
    </xf>
    <xf numFmtId="0" fontId="46" fillId="36" borderId="83" xfId="0" applyFont="1" applyFill="1" applyBorder="1" applyAlignment="1">
      <alignment horizontal="center" vertical="center" readingOrder="2"/>
    </xf>
    <xf numFmtId="0" fontId="46" fillId="36" borderId="84" xfId="0" applyFont="1" applyFill="1" applyBorder="1" applyAlignment="1">
      <alignment horizontal="center" vertical="center" readingOrder="2"/>
    </xf>
    <xf numFmtId="0" fontId="46" fillId="36" borderId="85" xfId="0" applyFont="1" applyFill="1" applyBorder="1" applyAlignment="1">
      <alignment horizontal="center" vertical="center" readingOrder="2"/>
    </xf>
    <xf numFmtId="0" fontId="84" fillId="41" borderId="2" xfId="0" applyFont="1" applyFill="1" applyBorder="1" applyAlignment="1">
      <alignment horizontal="center" vertical="center" readingOrder="1"/>
    </xf>
    <xf numFmtId="0" fontId="53" fillId="41" borderId="2" xfId="0" applyFont="1" applyFill="1" applyBorder="1" applyAlignment="1">
      <alignment horizontal="center" vertical="center" readingOrder="1"/>
    </xf>
    <xf numFmtId="0" fontId="15" fillId="3" borderId="2" xfId="14" applyFont="1" applyFill="1" applyBorder="1" applyAlignment="1">
      <alignment horizontal="center" vertical="center"/>
    </xf>
    <xf numFmtId="0" fontId="15" fillId="90" borderId="4" xfId="14" applyFont="1" applyFill="1" applyBorder="1" applyAlignment="1">
      <alignment horizontal="center" vertical="center" textRotation="90"/>
    </xf>
    <xf numFmtId="0" fontId="15" fillId="90" borderId="2" xfId="14" applyFont="1" applyFill="1" applyBorder="1" applyAlignment="1">
      <alignment horizontal="center" vertical="center" textRotation="90"/>
    </xf>
    <xf numFmtId="0" fontId="7" fillId="10" borderId="2" xfId="14" applyFont="1" applyFill="1" applyBorder="1" applyAlignment="1">
      <alignment horizontal="center" vertical="center"/>
    </xf>
    <xf numFmtId="0" fontId="7" fillId="51" borderId="2" xfId="14" applyFont="1" applyFill="1" applyBorder="1" applyAlignment="1">
      <alignment horizontal="center" vertical="center"/>
    </xf>
    <xf numFmtId="0" fontId="15" fillId="6" borderId="2" xfId="14" applyFont="1" applyFill="1" applyBorder="1" applyAlignment="1">
      <alignment horizontal="center" vertical="center" textRotation="90"/>
    </xf>
    <xf numFmtId="1" fontId="9" fillId="8" borderId="2" xfId="14" applyNumberFormat="1" applyFont="1" applyFill="1" applyBorder="1" applyAlignment="1">
      <alignment horizontal="center" vertical="center"/>
    </xf>
    <xf numFmtId="0" fontId="7" fillId="10" borderId="3" xfId="14" applyFont="1" applyFill="1" applyBorder="1" applyAlignment="1">
      <alignment horizontal="center" vertical="center"/>
    </xf>
    <xf numFmtId="0" fontId="15" fillId="8" borderId="4" xfId="14" applyFont="1" applyFill="1" applyBorder="1" applyAlignment="1">
      <alignment horizontal="center" vertical="center" textRotation="90"/>
    </xf>
    <xf numFmtId="0" fontId="15" fillId="8" borderId="2" xfId="14" applyFont="1" applyFill="1" applyBorder="1" applyAlignment="1">
      <alignment horizontal="center" vertical="center" textRotation="90"/>
    </xf>
    <xf numFmtId="0" fontId="15" fillId="8" borderId="3" xfId="14" applyFont="1" applyFill="1" applyBorder="1" applyAlignment="1">
      <alignment horizontal="center" vertical="center" textRotation="90"/>
    </xf>
    <xf numFmtId="0" fontId="59" fillId="3" borderId="2" xfId="0" applyFont="1" applyFill="1" applyBorder="1" applyAlignment="1">
      <alignment horizontal="center" vertical="center"/>
    </xf>
    <xf numFmtId="0" fontId="47" fillId="64" borderId="3" xfId="0" applyFont="1" applyFill="1" applyBorder="1" applyAlignment="1">
      <alignment horizontal="center" vertical="center" readingOrder="2"/>
    </xf>
    <xf numFmtId="0" fontId="47" fillId="64" borderId="4" xfId="0" applyFont="1" applyFill="1" applyBorder="1" applyAlignment="1">
      <alignment horizontal="center" vertical="center" readingOrder="2"/>
    </xf>
    <xf numFmtId="0" fontId="47" fillId="91" borderId="3" xfId="0" applyFont="1" applyFill="1" applyBorder="1" applyAlignment="1">
      <alignment horizontal="center" vertical="center" readingOrder="2"/>
    </xf>
    <xf numFmtId="0" fontId="47" fillId="91" borderId="6" xfId="0" applyFont="1" applyFill="1" applyBorder="1" applyAlignment="1">
      <alignment horizontal="center" vertical="center" readingOrder="2"/>
    </xf>
    <xf numFmtId="0" fontId="47" fillId="91" borderId="4" xfId="0" applyFont="1" applyFill="1" applyBorder="1" applyAlignment="1">
      <alignment horizontal="center" vertical="center" readingOrder="2"/>
    </xf>
    <xf numFmtId="0" fontId="47" fillId="64" borderId="8" xfId="0" applyFont="1" applyFill="1" applyBorder="1" applyAlignment="1">
      <alignment horizontal="center" vertical="center" readingOrder="2"/>
    </xf>
    <xf numFmtId="0" fontId="47" fillId="64" borderId="10" xfId="0" applyFont="1" applyFill="1" applyBorder="1" applyAlignment="1">
      <alignment horizontal="center" vertical="center" readingOrder="2"/>
    </xf>
    <xf numFmtId="0" fontId="47" fillId="64" borderId="3" xfId="0" applyFont="1" applyFill="1" applyBorder="1" applyAlignment="1">
      <alignment horizontal="center" vertical="center" wrapText="1" readingOrder="2"/>
    </xf>
    <xf numFmtId="0" fontId="47" fillId="64" borderId="4" xfId="0" applyFont="1" applyFill="1" applyBorder="1" applyAlignment="1">
      <alignment horizontal="center" vertical="center" wrapText="1" readingOrder="2"/>
    </xf>
    <xf numFmtId="0" fontId="53" fillId="41" borderId="15" xfId="0" applyFont="1" applyFill="1" applyBorder="1" applyAlignment="1">
      <alignment horizontal="center" vertical="center" readingOrder="2"/>
    </xf>
    <xf numFmtId="0" fontId="53" fillId="41" borderId="16" xfId="0" applyFont="1" applyFill="1" applyBorder="1" applyAlignment="1">
      <alignment horizontal="center" vertical="center" readingOrder="2"/>
    </xf>
    <xf numFmtId="0" fontId="53" fillId="41" borderId="8" xfId="0" applyFont="1" applyFill="1" applyBorder="1" applyAlignment="1">
      <alignment horizontal="center" vertical="center" readingOrder="2"/>
    </xf>
    <xf numFmtId="0" fontId="53" fillId="41" borderId="10" xfId="0" applyFont="1" applyFill="1" applyBorder="1" applyAlignment="1">
      <alignment horizontal="center" vertical="center" readingOrder="2"/>
    </xf>
    <xf numFmtId="0" fontId="53" fillId="86" borderId="8" xfId="0" applyFont="1" applyFill="1" applyBorder="1" applyAlignment="1">
      <alignment horizontal="center" vertical="center" readingOrder="1"/>
    </xf>
    <xf numFmtId="0" fontId="53" fillId="86" borderId="9" xfId="0" applyFont="1" applyFill="1" applyBorder="1" applyAlignment="1">
      <alignment horizontal="center" vertical="center" readingOrder="1"/>
    </xf>
    <xf numFmtId="0" fontId="53" fillId="86" borderId="5" xfId="0" applyFont="1" applyFill="1" applyBorder="1" applyAlignment="1">
      <alignment horizontal="center" vertical="center" readingOrder="1"/>
    </xf>
    <xf numFmtId="0" fontId="53" fillId="86" borderId="10" xfId="0" applyFont="1" applyFill="1" applyBorder="1" applyAlignment="1">
      <alignment horizontal="center" vertical="center" readingOrder="1"/>
    </xf>
    <xf numFmtId="0" fontId="53" fillId="71" borderId="8" xfId="0" applyFont="1" applyFill="1" applyBorder="1" applyAlignment="1">
      <alignment horizontal="center" vertical="center" readingOrder="2"/>
    </xf>
    <xf numFmtId="0" fontId="53" fillId="71" borderId="10" xfId="0" applyFont="1" applyFill="1" applyBorder="1" applyAlignment="1">
      <alignment horizontal="center" vertical="center" readingOrder="2"/>
    </xf>
    <xf numFmtId="0" fontId="47" fillId="74" borderId="0" xfId="0" applyFont="1" applyFill="1" applyAlignment="1">
      <alignment horizontal="center" vertical="center" readingOrder="1"/>
    </xf>
    <xf numFmtId="0" fontId="47" fillId="71" borderId="8" xfId="0" applyFont="1" applyFill="1" applyBorder="1" applyAlignment="1">
      <alignment horizontal="center" vertical="center" readingOrder="2"/>
    </xf>
    <xf numFmtId="0" fontId="47" fillId="71" borderId="10" xfId="0" applyFont="1" applyFill="1" applyBorder="1" applyAlignment="1">
      <alignment horizontal="center" vertical="center" readingOrder="2"/>
    </xf>
    <xf numFmtId="0" fontId="53" fillId="87" borderId="8" xfId="0" applyFont="1" applyFill="1" applyBorder="1" applyAlignment="1">
      <alignment horizontal="center" vertical="center" readingOrder="2"/>
    </xf>
    <xf numFmtId="0" fontId="53" fillId="87" borderId="10" xfId="0" applyFont="1" applyFill="1" applyBorder="1" applyAlignment="1">
      <alignment horizontal="center" vertical="center" readingOrder="2"/>
    </xf>
    <xf numFmtId="0" fontId="47" fillId="87" borderId="8" xfId="0" applyFont="1" applyFill="1" applyBorder="1" applyAlignment="1">
      <alignment horizontal="center" vertical="center" readingOrder="2"/>
    </xf>
    <xf numFmtId="0" fontId="47" fillId="87" borderId="10" xfId="0" applyFont="1" applyFill="1" applyBorder="1" applyAlignment="1">
      <alignment horizontal="center" vertical="center" readingOrder="2"/>
    </xf>
    <xf numFmtId="0" fontId="53" fillId="64" borderId="12" xfId="0" applyFont="1" applyFill="1" applyBorder="1" applyAlignment="1">
      <alignment horizontal="center" vertical="center" readingOrder="2"/>
    </xf>
    <xf numFmtId="0" fontId="53" fillId="64" borderId="15" xfId="0" applyFont="1" applyFill="1" applyBorder="1" applyAlignment="1">
      <alignment horizontal="center" vertical="center" readingOrder="2"/>
    </xf>
    <xf numFmtId="0" fontId="53" fillId="64" borderId="11" xfId="0" applyFont="1" applyFill="1" applyBorder="1" applyAlignment="1">
      <alignment horizontal="center" vertical="center" readingOrder="2"/>
    </xf>
    <xf numFmtId="0" fontId="53" fillId="64" borderId="16" xfId="0" applyFont="1" applyFill="1" applyBorder="1" applyAlignment="1">
      <alignment horizontal="center" vertical="center" readingOrder="2"/>
    </xf>
    <xf numFmtId="0" fontId="53" fillId="64" borderId="13" xfId="0" applyFont="1" applyFill="1" applyBorder="1" applyAlignment="1">
      <alignment horizontal="center" vertical="center" readingOrder="2"/>
    </xf>
    <xf numFmtId="0" fontId="53" fillId="64" borderId="14" xfId="0" applyFont="1" applyFill="1" applyBorder="1" applyAlignment="1">
      <alignment horizontal="center" vertical="center" readingOrder="2"/>
    </xf>
    <xf numFmtId="0" fontId="53" fillId="77" borderId="8" xfId="0" applyFont="1" applyFill="1" applyBorder="1" applyAlignment="1">
      <alignment horizontal="center" vertical="center" readingOrder="2"/>
    </xf>
    <xf numFmtId="0" fontId="53" fillId="77" borderId="10" xfId="0" applyFont="1" applyFill="1" applyBorder="1" applyAlignment="1">
      <alignment horizontal="center" vertical="center" readingOrder="2"/>
    </xf>
    <xf numFmtId="0" fontId="53" fillId="74" borderId="5" xfId="0" applyFont="1" applyFill="1" applyBorder="1" applyAlignment="1">
      <alignment horizontal="center" vertical="center" readingOrder="1"/>
    </xf>
    <xf numFmtId="0" fontId="53" fillId="74" borderId="15" xfId="0" applyFont="1" applyFill="1" applyBorder="1" applyAlignment="1">
      <alignment horizontal="center" vertical="center" readingOrder="1"/>
    </xf>
    <xf numFmtId="0" fontId="53" fillId="74" borderId="0" xfId="0" applyFont="1" applyFill="1" applyAlignment="1">
      <alignment horizontal="center" vertical="center" readingOrder="1"/>
    </xf>
    <xf numFmtId="0" fontId="53" fillId="74" borderId="16" xfId="0" applyFont="1" applyFill="1" applyBorder="1" applyAlignment="1">
      <alignment horizontal="center" vertical="center" readingOrder="1"/>
    </xf>
    <xf numFmtId="0" fontId="84" fillId="71" borderId="8" xfId="0" applyFont="1" applyFill="1" applyBorder="1" applyAlignment="1">
      <alignment horizontal="center" vertical="center" readingOrder="2"/>
    </xf>
    <xf numFmtId="0" fontId="84" fillId="71" borderId="9" xfId="0" applyFont="1" applyFill="1" applyBorder="1" applyAlignment="1">
      <alignment horizontal="center" vertical="center" readingOrder="2"/>
    </xf>
    <xf numFmtId="0" fontId="84" fillId="71" borderId="10" xfId="0" applyFont="1" applyFill="1" applyBorder="1" applyAlignment="1">
      <alignment horizontal="center" vertical="center" readingOrder="2"/>
    </xf>
    <xf numFmtId="0" fontId="47" fillId="74" borderId="3" xfId="0" applyFont="1" applyFill="1" applyBorder="1" applyAlignment="1">
      <alignment horizontal="center" vertical="center" readingOrder="2"/>
    </xf>
    <xf numFmtId="0" fontId="47" fillId="74" borderId="6" xfId="0" applyFont="1" applyFill="1" applyBorder="1" applyAlignment="1">
      <alignment horizontal="center" vertical="center" readingOrder="2"/>
    </xf>
    <xf numFmtId="0" fontId="47" fillId="74" borderId="4" xfId="0" applyFont="1" applyFill="1" applyBorder="1" applyAlignment="1">
      <alignment horizontal="center" vertical="center" readingOrder="2"/>
    </xf>
    <xf numFmtId="0" fontId="47" fillId="74" borderId="12" xfId="0" applyFont="1" applyFill="1" applyBorder="1" applyAlignment="1">
      <alignment horizontal="center" vertical="center" readingOrder="2"/>
    </xf>
    <xf numFmtId="0" fontId="47" fillId="74" borderId="15" xfId="0" applyFont="1" applyFill="1" applyBorder="1" applyAlignment="1">
      <alignment horizontal="center" vertical="center" readingOrder="2"/>
    </xf>
    <xf numFmtId="0" fontId="47" fillId="74" borderId="11" xfId="0" applyFont="1" applyFill="1" applyBorder="1" applyAlignment="1">
      <alignment horizontal="center" vertical="center" readingOrder="2"/>
    </xf>
    <xf numFmtId="0" fontId="47" fillId="74" borderId="16" xfId="0" applyFont="1" applyFill="1" applyBorder="1" applyAlignment="1">
      <alignment horizontal="center" vertical="center" readingOrder="2"/>
    </xf>
    <xf numFmtId="0" fontId="47" fillId="74" borderId="13" xfId="0" applyFont="1" applyFill="1" applyBorder="1" applyAlignment="1">
      <alignment horizontal="center" vertical="center" readingOrder="2"/>
    </xf>
    <xf numFmtId="0" fontId="47" fillId="74" borderId="14" xfId="0" applyFont="1" applyFill="1" applyBorder="1" applyAlignment="1">
      <alignment horizontal="center" vertical="center" readingOrder="2"/>
    </xf>
    <xf numFmtId="0" fontId="47" fillId="74" borderId="3" xfId="0" applyFont="1" applyFill="1" applyBorder="1" applyAlignment="1">
      <alignment horizontal="center" vertical="center" wrapText="1" readingOrder="2"/>
    </xf>
    <xf numFmtId="0" fontId="47" fillId="74" borderId="6" xfId="0" applyFont="1" applyFill="1" applyBorder="1" applyAlignment="1">
      <alignment horizontal="center" vertical="center" wrapText="1" readingOrder="2"/>
    </xf>
    <xf numFmtId="0" fontId="47" fillId="74" borderId="4" xfId="0" applyFont="1" applyFill="1" applyBorder="1" applyAlignment="1">
      <alignment horizontal="center" vertical="center" wrapText="1" readingOrder="2"/>
    </xf>
    <xf numFmtId="0" fontId="39" fillId="74" borderId="3" xfId="0" applyFont="1" applyFill="1" applyBorder="1" applyAlignment="1">
      <alignment horizontal="center" vertical="center" readingOrder="2"/>
    </xf>
    <xf numFmtId="0" fontId="39" fillId="74" borderId="6" xfId="0" applyFont="1" applyFill="1" applyBorder="1" applyAlignment="1">
      <alignment horizontal="center" vertical="center" readingOrder="2"/>
    </xf>
    <xf numFmtId="0" fontId="39" fillId="74" borderId="4" xfId="0" applyFont="1" applyFill="1" applyBorder="1" applyAlignment="1">
      <alignment horizontal="center" vertical="center" readingOrder="2"/>
    </xf>
    <xf numFmtId="0" fontId="47" fillId="85" borderId="7" xfId="0" applyFont="1" applyFill="1" applyBorder="1" applyAlignment="1">
      <alignment horizontal="center" vertical="center" readingOrder="2"/>
    </xf>
    <xf numFmtId="0" fontId="47" fillId="85" borderId="14" xfId="0" applyFont="1" applyFill="1" applyBorder="1" applyAlignment="1">
      <alignment horizontal="center" vertical="center" readingOrder="2"/>
    </xf>
    <xf numFmtId="0" fontId="47" fillId="62" borderId="3" xfId="0" applyFont="1" applyFill="1" applyBorder="1" applyAlignment="1">
      <alignment horizontal="center" vertical="center" readingOrder="2"/>
    </xf>
    <xf numFmtId="0" fontId="47" fillId="62" borderId="4" xfId="0" applyFont="1" applyFill="1" applyBorder="1" applyAlignment="1">
      <alignment horizontal="center" vertical="center" readingOrder="2"/>
    </xf>
    <xf numFmtId="0" fontId="47" fillId="62" borderId="8" xfId="0" applyFont="1" applyFill="1" applyBorder="1" applyAlignment="1">
      <alignment horizontal="center" vertical="center" readingOrder="2"/>
    </xf>
    <xf numFmtId="0" fontId="47" fillId="62" borderId="10" xfId="0" applyFont="1" applyFill="1" applyBorder="1" applyAlignment="1">
      <alignment horizontal="center" vertical="center" readingOrder="2"/>
    </xf>
    <xf numFmtId="0" fontId="53" fillId="68" borderId="8" xfId="0" applyFont="1" applyFill="1" applyBorder="1" applyAlignment="1">
      <alignment horizontal="center" vertical="center" readingOrder="2"/>
    </xf>
    <xf numFmtId="0" fontId="53" fillId="68" borderId="10" xfId="0" applyFont="1" applyFill="1" applyBorder="1" applyAlignment="1">
      <alignment horizontal="center" vertical="center" readingOrder="2"/>
    </xf>
    <xf numFmtId="0" fontId="53" fillId="69" borderId="3" xfId="0" applyFont="1" applyFill="1" applyBorder="1" applyAlignment="1">
      <alignment horizontal="center" vertical="center" readingOrder="2"/>
    </xf>
    <xf numFmtId="0" fontId="53" fillId="69" borderId="4" xfId="0" applyFont="1" applyFill="1" applyBorder="1" applyAlignment="1">
      <alignment horizontal="center" vertical="center" readingOrder="2"/>
    </xf>
    <xf numFmtId="0" fontId="53" fillId="33" borderId="8" xfId="0" applyFont="1" applyFill="1" applyBorder="1" applyAlignment="1">
      <alignment horizontal="center" vertical="center" readingOrder="2"/>
    </xf>
    <xf numFmtId="0" fontId="53" fillId="33" borderId="10" xfId="0" applyFont="1" applyFill="1" applyBorder="1" applyAlignment="1">
      <alignment horizontal="center" vertical="center" readingOrder="2"/>
    </xf>
    <xf numFmtId="0" fontId="53" fillId="73" borderId="3" xfId="0" applyFont="1" applyFill="1" applyBorder="1" applyAlignment="1">
      <alignment horizontal="center" vertical="center" readingOrder="1"/>
    </xf>
    <xf numFmtId="0" fontId="53" fillId="73" borderId="4" xfId="0" applyFont="1" applyFill="1" applyBorder="1" applyAlignment="1">
      <alignment horizontal="center" vertical="center" readingOrder="1"/>
    </xf>
    <xf numFmtId="0" fontId="15" fillId="3" borderId="44" xfId="0" applyFont="1" applyFill="1" applyBorder="1" applyAlignment="1">
      <alignment horizontal="center"/>
    </xf>
    <xf numFmtId="0" fontId="15" fillId="3" borderId="45" xfId="0" applyFont="1" applyFill="1" applyBorder="1" applyAlignment="1">
      <alignment horizontal="center"/>
    </xf>
    <xf numFmtId="0" fontId="15" fillId="3" borderId="46" xfId="0" applyFont="1" applyFill="1" applyBorder="1" applyAlignment="1">
      <alignment horizontal="center"/>
    </xf>
    <xf numFmtId="0" fontId="15" fillId="3" borderId="2" xfId="0" applyFont="1" applyFill="1" applyBorder="1" applyAlignment="1">
      <alignment horizontal="center" vertical="center"/>
    </xf>
    <xf numFmtId="0" fontId="107" fillId="3" borderId="2" xfId="0" applyFont="1" applyFill="1" applyBorder="1" applyAlignment="1">
      <alignment horizontal="center" vertical="center"/>
    </xf>
    <xf numFmtId="0" fontId="103" fillId="27" borderId="2" xfId="0" applyFont="1" applyFill="1" applyBorder="1" applyAlignment="1">
      <alignment horizontal="center" vertical="center" wrapText="1" readingOrder="2"/>
    </xf>
    <xf numFmtId="0" fontId="102" fillId="3" borderId="2" xfId="0" applyFont="1" applyFill="1" applyBorder="1" applyAlignment="1">
      <alignment horizontal="center" vertical="center"/>
    </xf>
    <xf numFmtId="0" fontId="12" fillId="21" borderId="26" xfId="0" applyFont="1" applyFill="1" applyBorder="1" applyAlignment="1">
      <alignment horizontal="center" vertical="center" wrapText="1"/>
    </xf>
    <xf numFmtId="0" fontId="12" fillId="21" borderId="23" xfId="0" applyFont="1" applyFill="1" applyBorder="1" applyAlignment="1">
      <alignment horizontal="center" vertical="center" wrapText="1"/>
    </xf>
    <xf numFmtId="0" fontId="12" fillId="21" borderId="25" xfId="0" applyFont="1" applyFill="1" applyBorder="1" applyAlignment="1">
      <alignment horizontal="center" vertical="center" wrapText="1"/>
    </xf>
    <xf numFmtId="0" fontId="12" fillId="20" borderId="27" xfId="0" applyFont="1" applyFill="1" applyBorder="1" applyAlignment="1">
      <alignment horizontal="center" vertical="center" wrapText="1"/>
    </xf>
    <xf numFmtId="0" fontId="12" fillId="20" borderId="28" xfId="0" applyFont="1" applyFill="1" applyBorder="1" applyAlignment="1">
      <alignment horizontal="center" vertical="center" wrapText="1"/>
    </xf>
    <xf numFmtId="0" fontId="24" fillId="3" borderId="18" xfId="0" applyFont="1" applyFill="1" applyBorder="1" applyAlignment="1">
      <alignment horizontal="center" vertical="top" wrapText="1"/>
    </xf>
    <xf numFmtId="0" fontId="24" fillId="3" borderId="19" xfId="0" applyFont="1" applyFill="1" applyBorder="1" applyAlignment="1">
      <alignment horizontal="center" vertical="top" wrapText="1"/>
    </xf>
    <xf numFmtId="0" fontId="24" fillId="3" borderId="20" xfId="0" applyFont="1" applyFill="1" applyBorder="1" applyAlignment="1">
      <alignment horizontal="center" vertical="top" wrapText="1"/>
    </xf>
    <xf numFmtId="0" fontId="84" fillId="0" borderId="15" xfId="0" applyFont="1" applyBorder="1" applyAlignment="1">
      <alignment horizontal="center" vertical="center" readingOrder="1"/>
    </xf>
    <xf numFmtId="0" fontId="84" fillId="0" borderId="16" xfId="0" applyFont="1" applyBorder="1" applyAlignment="1">
      <alignment horizontal="center" vertical="center" readingOrder="1"/>
    </xf>
    <xf numFmtId="0" fontId="84" fillId="0" borderId="14" xfId="0" applyFont="1" applyBorder="1" applyAlignment="1">
      <alignment horizontal="center" vertical="center" readingOrder="1"/>
    </xf>
    <xf numFmtId="0" fontId="84" fillId="71" borderId="2" xfId="0" applyFont="1" applyFill="1" applyBorder="1" applyAlignment="1">
      <alignment horizontal="center" vertical="center" wrapText="1" readingOrder="2"/>
    </xf>
    <xf numFmtId="0" fontId="84" fillId="0" borderId="3" xfId="0" applyFont="1" applyBorder="1" applyAlignment="1">
      <alignment horizontal="center" vertical="center" readingOrder="2"/>
    </xf>
    <xf numFmtId="0" fontId="84" fillId="0" borderId="6" xfId="0" applyFont="1" applyBorder="1" applyAlignment="1">
      <alignment horizontal="center" vertical="center" readingOrder="2"/>
    </xf>
    <xf numFmtId="0" fontId="84" fillId="0" borderId="4" xfId="0" applyFont="1" applyBorder="1" applyAlignment="1">
      <alignment horizontal="center" vertical="center" readingOrder="2"/>
    </xf>
    <xf numFmtId="0" fontId="47" fillId="64" borderId="9" xfId="0" applyFont="1" applyFill="1" applyBorder="1" applyAlignment="1">
      <alignment horizontal="center" vertical="center" readingOrder="2"/>
    </xf>
    <xf numFmtId="0" fontId="84" fillId="63" borderId="9" xfId="0" applyFont="1" applyFill="1" applyBorder="1" applyAlignment="1">
      <alignment horizontal="center" vertical="center" readingOrder="1"/>
    </xf>
    <xf numFmtId="0" fontId="84" fillId="63" borderId="10" xfId="0" applyFont="1" applyFill="1" applyBorder="1" applyAlignment="1">
      <alignment horizontal="center" vertical="center" readingOrder="1"/>
    </xf>
    <xf numFmtId="0" fontId="9" fillId="3" borderId="11" xfId="0" applyFont="1" applyFill="1" applyBorder="1" applyAlignment="1">
      <alignment horizontal="center" vertical="center"/>
    </xf>
    <xf numFmtId="0" fontId="9" fillId="3" borderId="0" xfId="0" applyFont="1" applyFill="1" applyAlignment="1">
      <alignment horizontal="center" vertical="center"/>
    </xf>
    <xf numFmtId="0" fontId="9" fillId="0" borderId="0" xfId="1" applyFont="1" applyAlignment="1">
      <alignment horizontal="center" vertical="center"/>
    </xf>
    <xf numFmtId="0" fontId="6" fillId="0" borderId="0" xfId="1" applyFont="1" applyAlignment="1">
      <alignment horizontal="center" vertical="center"/>
    </xf>
    <xf numFmtId="0" fontId="9" fillId="0" borderId="0" xfId="1" applyFont="1" applyAlignment="1">
      <alignment horizontal="center" vertical="center" wrapText="1"/>
    </xf>
    <xf numFmtId="0" fontId="10" fillId="0" borderId="0" xfId="1" applyAlignment="1">
      <alignment horizontal="center" vertical="center"/>
    </xf>
    <xf numFmtId="0" fontId="47" fillId="0" borderId="0" xfId="0" applyFont="1" applyAlignment="1">
      <alignment horizontal="center" vertical="center" wrapText="1"/>
    </xf>
    <xf numFmtId="0" fontId="12" fillId="0" borderId="0" xfId="0" applyFont="1" applyAlignment="1">
      <alignment horizontal="center" vertical="center" wrapText="1"/>
    </xf>
    <xf numFmtId="0" fontId="47" fillId="0" borderId="0" xfId="0" applyFont="1" applyAlignment="1">
      <alignment horizontal="center" wrapText="1"/>
    </xf>
    <xf numFmtId="0" fontId="24" fillId="0" borderId="0" xfId="0" applyFont="1" applyAlignment="1">
      <alignment horizontal="center" vertical="top" wrapText="1"/>
    </xf>
    <xf numFmtId="0" fontId="31" fillId="24" borderId="8" xfId="0" applyFont="1" applyFill="1" applyBorder="1" applyAlignment="1">
      <alignment horizontal="center" vertical="center" readingOrder="2"/>
    </xf>
    <xf numFmtId="0" fontId="31" fillId="24" borderId="9" xfId="0" applyFont="1" applyFill="1" applyBorder="1" applyAlignment="1">
      <alignment horizontal="center" vertical="center" readingOrder="2"/>
    </xf>
    <xf numFmtId="0" fontId="30" fillId="29" borderId="3" xfId="0" applyFont="1" applyFill="1" applyBorder="1" applyAlignment="1">
      <alignment horizontal="center" vertical="center" wrapText="1" shrinkToFit="1" readingOrder="2"/>
    </xf>
    <xf numFmtId="0" fontId="30" fillId="29" borderId="4" xfId="0" applyFont="1" applyFill="1" applyBorder="1" applyAlignment="1">
      <alignment horizontal="center" vertical="center" wrapText="1" shrinkToFit="1" readingOrder="2"/>
    </xf>
    <xf numFmtId="0" fontId="29" fillId="29" borderId="2" xfId="0" applyFont="1" applyFill="1" applyBorder="1" applyAlignment="1">
      <alignment horizontal="center" vertical="center" readingOrder="2"/>
    </xf>
    <xf numFmtId="0" fontId="29" fillId="29" borderId="3" xfId="0" applyFont="1" applyFill="1" applyBorder="1" applyAlignment="1">
      <alignment horizontal="center" vertical="center" wrapText="1" readingOrder="2"/>
    </xf>
    <xf numFmtId="0" fontId="29" fillId="29" borderId="4" xfId="0" applyFont="1" applyFill="1" applyBorder="1" applyAlignment="1">
      <alignment horizontal="center" vertical="center" wrapText="1" readingOrder="2"/>
    </xf>
    <xf numFmtId="0" fontId="29" fillId="15" borderId="2" xfId="0" applyFont="1" applyFill="1" applyBorder="1" applyAlignment="1">
      <alignment horizontal="center" vertical="center" wrapText="1" shrinkToFit="1" readingOrder="2"/>
    </xf>
    <xf numFmtId="0" fontId="108" fillId="29" borderId="8" xfId="0" applyFont="1" applyFill="1" applyBorder="1" applyAlignment="1">
      <alignment horizontal="center" readingOrder="2"/>
    </xf>
    <xf numFmtId="0" fontId="108" fillId="29" borderId="9" xfId="0" applyFont="1" applyFill="1" applyBorder="1" applyAlignment="1">
      <alignment horizontal="center" readingOrder="2"/>
    </xf>
    <xf numFmtId="0" fontId="108" fillId="29" borderId="10" xfId="0" applyFont="1" applyFill="1" applyBorder="1" applyAlignment="1">
      <alignment horizontal="center" readingOrder="2"/>
    </xf>
    <xf numFmtId="0" fontId="109" fillId="3" borderId="8" xfId="0" applyFont="1" applyFill="1" applyBorder="1" applyAlignment="1">
      <alignment horizontal="center" vertical="center" readingOrder="2"/>
    </xf>
    <xf numFmtId="0" fontId="109" fillId="3" borderId="9" xfId="0" applyFont="1" applyFill="1" applyBorder="1" applyAlignment="1">
      <alignment horizontal="center" vertical="center" readingOrder="2"/>
    </xf>
    <xf numFmtId="0" fontId="109" fillId="3" borderId="10" xfId="0" applyFont="1" applyFill="1" applyBorder="1" applyAlignment="1">
      <alignment horizontal="center" vertical="center" readingOrder="2"/>
    </xf>
    <xf numFmtId="0" fontId="109" fillId="3" borderId="8" xfId="0" applyFont="1" applyFill="1" applyBorder="1" applyAlignment="1">
      <alignment horizontal="center" readingOrder="2"/>
    </xf>
    <xf numFmtId="0" fontId="109" fillId="3" borderId="9" xfId="0" applyFont="1" applyFill="1" applyBorder="1" applyAlignment="1">
      <alignment horizontal="center" readingOrder="2"/>
    </xf>
    <xf numFmtId="0" fontId="109" fillId="3" borderId="10" xfId="0" applyFont="1" applyFill="1" applyBorder="1" applyAlignment="1">
      <alignment horizontal="center" readingOrder="2"/>
    </xf>
    <xf numFmtId="0" fontId="29" fillId="29" borderId="2" xfId="0" applyFont="1" applyFill="1" applyBorder="1" applyAlignment="1">
      <alignment horizontal="center" vertical="center" wrapText="1" readingOrder="2"/>
    </xf>
    <xf numFmtId="0" fontId="108" fillId="29" borderId="8" xfId="0" applyFont="1" applyFill="1" applyBorder="1" applyAlignment="1">
      <alignment horizontal="center" vertical="center" readingOrder="2"/>
    </xf>
    <xf numFmtId="0" fontId="108" fillId="29" borderId="9" xfId="0" applyFont="1" applyFill="1" applyBorder="1" applyAlignment="1">
      <alignment horizontal="center" vertical="center" readingOrder="2"/>
    </xf>
    <xf numFmtId="0" fontId="108" fillId="29" borderId="10" xfId="0" applyFont="1" applyFill="1" applyBorder="1" applyAlignment="1">
      <alignment horizontal="center" vertical="center" readingOrder="2"/>
    </xf>
    <xf numFmtId="0" fontId="0" fillId="48" borderId="3" xfId="0" applyFill="1" applyBorder="1" applyAlignment="1">
      <alignment horizontal="center"/>
    </xf>
    <xf numFmtId="0" fontId="0" fillId="48" borderId="6" xfId="0" applyFill="1" applyBorder="1" applyAlignment="1">
      <alignment horizontal="center"/>
    </xf>
    <xf numFmtId="0" fontId="0" fillId="50" borderId="3" xfId="0" applyFill="1" applyBorder="1" applyAlignment="1">
      <alignment horizontal="center"/>
    </xf>
    <xf numFmtId="0" fontId="0" fillId="50" borderId="6" xfId="0" applyFill="1" applyBorder="1" applyAlignment="1">
      <alignment horizontal="center"/>
    </xf>
    <xf numFmtId="0" fontId="9" fillId="3" borderId="2" xfId="0" applyFont="1" applyFill="1" applyBorder="1" applyAlignment="1">
      <alignment horizontal="center" vertical="center" readingOrder="2"/>
    </xf>
    <xf numFmtId="0" fontId="8" fillId="5" borderId="2" xfId="0" applyFont="1" applyFill="1" applyBorder="1" applyAlignment="1">
      <alignment horizontal="center" vertical="center" readingOrder="2"/>
    </xf>
    <xf numFmtId="0" fontId="8" fillId="5" borderId="2" xfId="0" applyFont="1" applyFill="1" applyBorder="1" applyAlignment="1">
      <alignment horizontal="center" vertical="center" wrapText="1" readingOrder="2"/>
    </xf>
    <xf numFmtId="0" fontId="8" fillId="5" borderId="3" xfId="0" applyFont="1" applyFill="1" applyBorder="1" applyAlignment="1">
      <alignment horizontal="center" vertical="center" wrapText="1" readingOrder="2"/>
    </xf>
    <xf numFmtId="0" fontId="8" fillId="5" borderId="4" xfId="0" applyFont="1" applyFill="1" applyBorder="1" applyAlignment="1">
      <alignment horizontal="center" vertical="center" wrapText="1" readingOrder="2"/>
    </xf>
    <xf numFmtId="0" fontId="8" fillId="47" borderId="3" xfId="0" applyFont="1" applyFill="1" applyBorder="1" applyAlignment="1">
      <alignment horizontal="center" vertical="center" readingOrder="2"/>
    </xf>
    <xf numFmtId="0" fontId="8" fillId="47" borderId="6" xfId="0" applyFont="1" applyFill="1" applyBorder="1" applyAlignment="1">
      <alignment horizontal="center" vertical="center" readingOrder="2"/>
    </xf>
    <xf numFmtId="0" fontId="8" fillId="47" borderId="4" xfId="0" applyFont="1" applyFill="1" applyBorder="1" applyAlignment="1">
      <alignment horizontal="center" vertical="center" readingOrder="2"/>
    </xf>
    <xf numFmtId="0" fontId="8" fillId="49" borderId="3" xfId="0" applyFont="1" applyFill="1" applyBorder="1" applyAlignment="1">
      <alignment horizontal="center" vertical="center" readingOrder="2"/>
    </xf>
    <xf numFmtId="0" fontId="8" fillId="49" borderId="6" xfId="0" applyFont="1" applyFill="1" applyBorder="1" applyAlignment="1">
      <alignment horizontal="center" vertical="center" readingOrder="2"/>
    </xf>
    <xf numFmtId="0" fontId="8" fillId="49" borderId="4" xfId="0" applyFont="1" applyFill="1" applyBorder="1" applyAlignment="1">
      <alignment horizontal="center" vertical="center" readingOrder="2"/>
    </xf>
    <xf numFmtId="0" fontId="6" fillId="38" borderId="33" xfId="0" applyFont="1" applyFill="1" applyBorder="1" applyAlignment="1">
      <alignment horizontal="center" vertical="center"/>
    </xf>
    <xf numFmtId="0" fontId="6" fillId="38" borderId="34" xfId="0" applyFont="1" applyFill="1" applyBorder="1" applyAlignment="1">
      <alignment horizontal="center" vertical="center"/>
    </xf>
    <xf numFmtId="0" fontId="6" fillId="38" borderId="35" xfId="0" applyFont="1" applyFill="1" applyBorder="1" applyAlignment="1">
      <alignment horizontal="center" vertical="center"/>
    </xf>
    <xf numFmtId="0" fontId="6" fillId="38" borderId="36" xfId="0" applyFont="1" applyFill="1" applyBorder="1" applyAlignment="1">
      <alignment horizontal="center" vertical="center"/>
    </xf>
    <xf numFmtId="0" fontId="6" fillId="38" borderId="0" xfId="0" applyFont="1" applyFill="1" applyAlignment="1">
      <alignment horizontal="center" vertical="center"/>
    </xf>
    <xf numFmtId="0" fontId="6" fillId="38" borderId="37" xfId="0" applyFont="1" applyFill="1" applyBorder="1" applyAlignment="1">
      <alignment horizontal="center" vertical="center"/>
    </xf>
    <xf numFmtId="0" fontId="6" fillId="38" borderId="38" xfId="0" applyFont="1" applyFill="1" applyBorder="1" applyAlignment="1">
      <alignment horizontal="center" vertical="center"/>
    </xf>
    <xf numFmtId="0" fontId="6" fillId="38" borderId="39" xfId="0" applyFont="1" applyFill="1" applyBorder="1" applyAlignment="1">
      <alignment horizontal="center" vertical="center"/>
    </xf>
    <xf numFmtId="0" fontId="6" fillId="38" borderId="40" xfId="0" applyFont="1" applyFill="1" applyBorder="1" applyAlignment="1">
      <alignment horizontal="center" vertical="center"/>
    </xf>
    <xf numFmtId="0" fontId="8" fillId="3" borderId="3" xfId="0" applyFont="1" applyFill="1" applyBorder="1" applyAlignment="1">
      <alignment horizontal="center" vertical="center" readingOrder="2"/>
    </xf>
    <xf numFmtId="0" fontId="8" fillId="3" borderId="6" xfId="0" applyFont="1" applyFill="1" applyBorder="1" applyAlignment="1">
      <alignment horizontal="center" vertical="center" readingOrder="2"/>
    </xf>
    <xf numFmtId="0" fontId="8" fillId="3" borderId="4" xfId="0" applyFont="1" applyFill="1" applyBorder="1" applyAlignment="1">
      <alignment horizontal="center" vertical="center" readingOrder="2"/>
    </xf>
    <xf numFmtId="0" fontId="55" fillId="3" borderId="68" xfId="0" applyFont="1" applyFill="1" applyBorder="1" applyAlignment="1">
      <alignment horizontal="center" vertical="center" wrapText="1" readingOrder="2"/>
    </xf>
    <xf numFmtId="0" fontId="55" fillId="3" borderId="67" xfId="0" applyFont="1" applyFill="1" applyBorder="1" applyAlignment="1">
      <alignment horizontal="center" vertical="center" wrapText="1" readingOrder="2"/>
    </xf>
    <xf numFmtId="0" fontId="55" fillId="15" borderId="69" xfId="0" applyFont="1" applyFill="1" applyBorder="1" applyAlignment="1">
      <alignment horizontal="center" vertical="center" wrapText="1" readingOrder="2"/>
    </xf>
    <xf numFmtId="0" fontId="55" fillId="15" borderId="70" xfId="0" applyFont="1" applyFill="1" applyBorder="1" applyAlignment="1">
      <alignment horizontal="center" vertical="center" wrapText="1" readingOrder="2"/>
    </xf>
    <xf numFmtId="0" fontId="55" fillId="15" borderId="71" xfId="0" applyFont="1" applyFill="1" applyBorder="1" applyAlignment="1">
      <alignment horizontal="center" vertical="center" wrapText="1" readingOrder="2"/>
    </xf>
    <xf numFmtId="0" fontId="55" fillId="12" borderId="69" xfId="0" applyFont="1" applyFill="1" applyBorder="1" applyAlignment="1">
      <alignment horizontal="center" vertical="center" wrapText="1" readingOrder="2"/>
    </xf>
    <xf numFmtId="0" fontId="55" fillId="12" borderId="70" xfId="0" applyFont="1" applyFill="1" applyBorder="1" applyAlignment="1">
      <alignment horizontal="center" vertical="center" wrapText="1" readingOrder="2"/>
    </xf>
    <xf numFmtId="0" fontId="55" fillId="12" borderId="71" xfId="0" applyFont="1" applyFill="1" applyBorder="1" applyAlignment="1">
      <alignment horizontal="center" vertical="center" wrapText="1" readingOrder="2"/>
    </xf>
    <xf numFmtId="0" fontId="59" fillId="3" borderId="73" xfId="0" applyFont="1" applyFill="1" applyBorder="1" applyAlignment="1">
      <alignment horizontal="center" vertical="center"/>
    </xf>
    <xf numFmtId="0" fontId="59" fillId="3" borderId="74" xfId="0" applyFont="1" applyFill="1" applyBorder="1" applyAlignment="1">
      <alignment horizontal="center" vertical="center"/>
    </xf>
    <xf numFmtId="0" fontId="59" fillId="3" borderId="75" xfId="0" applyFont="1" applyFill="1" applyBorder="1" applyAlignment="1">
      <alignment horizontal="center" vertical="center"/>
    </xf>
    <xf numFmtId="0" fontId="58" fillId="20" borderId="72" xfId="0" applyFont="1" applyFill="1" applyBorder="1" applyAlignment="1">
      <alignment horizontal="center" vertical="center" wrapText="1" readingOrder="2"/>
    </xf>
    <xf numFmtId="0" fontId="58" fillId="20" borderId="68" xfId="0" applyFont="1" applyFill="1" applyBorder="1" applyAlignment="1">
      <alignment horizontal="center" vertical="center" wrapText="1" readingOrder="2"/>
    </xf>
    <xf numFmtId="0" fontId="58" fillId="20" borderId="4" xfId="0" applyFont="1" applyFill="1" applyBorder="1" applyAlignment="1">
      <alignment horizontal="center" vertical="center" wrapText="1" readingOrder="2"/>
    </xf>
    <xf numFmtId="0" fontId="58" fillId="20" borderId="2" xfId="0" applyFont="1" applyFill="1" applyBorder="1" applyAlignment="1">
      <alignment horizontal="center" vertical="center" wrapText="1" readingOrder="2"/>
    </xf>
    <xf numFmtId="0" fontId="58" fillId="20" borderId="66" xfId="0" applyFont="1" applyFill="1" applyBorder="1" applyAlignment="1">
      <alignment horizontal="center" vertical="center" wrapText="1" readingOrder="2"/>
    </xf>
    <xf numFmtId="0" fontId="55" fillId="3" borderId="2" xfId="0" applyFont="1" applyFill="1" applyBorder="1" applyAlignment="1">
      <alignment horizontal="center" vertical="center" wrapText="1" readingOrder="2"/>
    </xf>
    <xf numFmtId="0" fontId="55" fillId="3" borderId="61" xfId="0" applyFont="1" applyFill="1" applyBorder="1" applyAlignment="1">
      <alignment horizontal="center" vertical="center" wrapText="1" readingOrder="2"/>
    </xf>
    <xf numFmtId="0" fontId="55" fillId="15" borderId="63" xfId="0" applyFont="1" applyFill="1" applyBorder="1" applyAlignment="1">
      <alignment horizontal="center" vertical="center" wrapText="1" readingOrder="2"/>
    </xf>
    <xf numFmtId="0" fontId="55" fillId="15" borderId="6" xfId="0" applyFont="1" applyFill="1" applyBorder="1" applyAlignment="1">
      <alignment horizontal="center" vertical="center" wrapText="1" readingOrder="2"/>
    </xf>
    <xf numFmtId="0" fontId="55" fillId="15" borderId="62" xfId="0" applyFont="1" applyFill="1" applyBorder="1" applyAlignment="1">
      <alignment horizontal="center" vertical="center" wrapText="1" readingOrder="2"/>
    </xf>
    <xf numFmtId="0" fontId="55" fillId="12" borderId="63" xfId="0" applyFont="1" applyFill="1" applyBorder="1" applyAlignment="1">
      <alignment horizontal="center" vertical="center" wrapText="1" readingOrder="2"/>
    </xf>
    <xf numFmtId="0" fontId="55" fillId="12" borderId="6" xfId="0" applyFont="1" applyFill="1" applyBorder="1" applyAlignment="1">
      <alignment horizontal="center" vertical="center" wrapText="1" readingOrder="2"/>
    </xf>
    <xf numFmtId="0" fontId="55" fillId="12" borderId="62" xfId="0" applyFont="1" applyFill="1" applyBorder="1" applyAlignment="1">
      <alignment horizontal="center" vertical="center" wrapText="1" readingOrder="2"/>
    </xf>
    <xf numFmtId="0" fontId="58" fillId="20" borderId="65" xfId="0" applyFont="1" applyFill="1" applyBorder="1" applyAlignment="1">
      <alignment horizontal="center" vertical="center" wrapText="1" readingOrder="2"/>
    </xf>
    <xf numFmtId="0" fontId="8" fillId="15" borderId="8" xfId="0" applyFont="1" applyFill="1" applyBorder="1" applyAlignment="1">
      <alignment horizontal="center" vertical="center" wrapText="1"/>
    </xf>
    <xf numFmtId="0" fontId="8" fillId="15" borderId="10" xfId="0" applyFont="1" applyFill="1" applyBorder="1" applyAlignment="1">
      <alignment horizontal="center" vertical="center" wrapText="1"/>
    </xf>
    <xf numFmtId="0" fontId="15" fillId="3" borderId="8"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10" xfId="0" applyFont="1" applyFill="1" applyBorder="1" applyAlignment="1">
      <alignment horizontal="center" vertical="center"/>
    </xf>
  </cellXfs>
  <cellStyles count="18">
    <cellStyle name="Comma 2" xfId="2" xr:uid="{00000000-0005-0000-0000-000000000000}"/>
    <cellStyle name="Hyperlink" xfId="9" xr:uid="{6D791DB4-4E5D-E343-80A7-189B429E3233}"/>
    <cellStyle name="Normal 2" xfId="1" xr:uid="{00000000-0005-0000-0000-000003000000}"/>
    <cellStyle name="Normal 2 2" xfId="8" xr:uid="{00000000-0005-0000-0000-000004000000}"/>
    <cellStyle name="Normal 3" xfId="5" xr:uid="{00000000-0005-0000-0000-000005000000}"/>
    <cellStyle name="Percent 2" xfId="3" xr:uid="{00000000-0005-0000-0000-000006000000}"/>
    <cellStyle name="ارتباط تشعبي" xfId="17" builtinId="8"/>
    <cellStyle name="ارتباط تشعبي 2" xfId="11" xr:uid="{EC79C442-7B52-114B-88E0-4D13F667A68B}"/>
    <cellStyle name="ارتباط تشعبي 2 2" xfId="12" xr:uid="{587B9B5F-DC2B-4B4F-BFE8-CC668A4F9AE2}"/>
    <cellStyle name="خلية تدقيق 2" xfId="6" xr:uid="{00000000-0005-0000-0000-000007000000}"/>
    <cellStyle name="عادي" xfId="0" builtinId="0"/>
    <cellStyle name="عادي 2" xfId="4" xr:uid="{00000000-0005-0000-0000-000008000000}"/>
    <cellStyle name="عادي 2 2" xfId="10" xr:uid="{F2D2565A-14E8-D044-83DA-91E8B321DF1A}"/>
    <cellStyle name="عادي 3" xfId="13" xr:uid="{D41F917E-2CD5-F74D-B441-8C929E96D119}"/>
    <cellStyle name="عادي 4" xfId="14" xr:uid="{A34FB871-D43C-B044-BC77-2B32C96F0841}"/>
    <cellStyle name="عادي 5" xfId="15" xr:uid="{43A3E266-FC4A-5742-92F5-1BC6C324B92B}"/>
    <cellStyle name="عادي 6" xfId="16" xr:uid="{17124170-3091-F34B-ADE8-0CBBBA7D6AD5}"/>
    <cellStyle name="نص توضيحي 2" xfId="7" xr:uid="{00000000-0005-0000-0000-000009000000}"/>
  </cellStyles>
  <dxfs count="6">
    <dxf>
      <fill>
        <patternFill>
          <bgColor rgb="FF2FF12F"/>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s>
  <tableStyles count="0" defaultTableStyle="TableStyleMedium9" defaultPivotStyle="PivotStyleLight16"/>
  <colors>
    <mruColors>
      <color rgb="FF65F52B"/>
      <color rgb="FFFFFFC5"/>
      <color rgb="FFD5DCE4"/>
      <color rgb="FFA7E2FF"/>
      <color rgb="FF00E8C7"/>
      <color rgb="FF2FF12F"/>
      <color rgb="FF9CD1E0"/>
      <color rgb="FFFF6A47"/>
      <color rgb="FFFF93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hyperlink" Target="#'&#1601;&#1585;&#1608;&#1602; &#1575;&#1604;&#1578;&#1587;&#1580;&#1610;&#1604; &#1585;&#1575;&#1574;&#1583;&#1577; &#1575;&#1604;&#1587;&#1604;&#1575;&#1605;'!A1"/><Relationship Id="rId13" Type="http://schemas.openxmlformats.org/officeDocument/2006/relationships/hyperlink" Target="#'&#1575;&#1604;&#1582;&#1583;&#1605;&#1575;&#1578; &#1575;&#1604;&#1605;&#1587;&#1575;&#1606;&#1583;&#1577;'!A1"/><Relationship Id="rId18" Type="http://schemas.openxmlformats.org/officeDocument/2006/relationships/hyperlink" Target="#'&#1588;&#1608;&#1575;&#1594;&#1585; &#1583;&#1575;&#1585; &#1575;&#1604;&#1602;&#1604;&#1605;'!A1"/><Relationship Id="rId3" Type="http://schemas.openxmlformats.org/officeDocument/2006/relationships/hyperlink" Target="#'&#1605;&#1587;&#1575;&#1581;&#1575;&#1578; &#1575;&#1604;&#1601;&#1589;&#1608;&#1604;'!A1"/><Relationship Id="rId7" Type="http://schemas.openxmlformats.org/officeDocument/2006/relationships/hyperlink" Target="#'&#1575;&#1604;&#1591;&#1575;&#1602;&#1577; &#1575;&#1604;&#1575;&#1587;&#1578;&#1610;&#1593;&#1575;&#1576;&#1610;&#1577;'!A1"/><Relationship Id="rId12" Type="http://schemas.openxmlformats.org/officeDocument/2006/relationships/hyperlink" Target="#'&#1575;&#1583;&#1575;&#1585;&#1610;&#1575;&#1578; &#1583;&#1575;&#1585; &#1575;&#1604;&#1602;&#1604;&#1605;'!A1"/><Relationship Id="rId17" Type="http://schemas.openxmlformats.org/officeDocument/2006/relationships/hyperlink" Target="#'&#1575;&#1604;&#1593;&#1607;&#1583;&#1577; &#1575;&#1604;&#1605;&#1575;&#1604;&#1610;&#1577;'!A1"/><Relationship Id="rId2" Type="http://schemas.openxmlformats.org/officeDocument/2006/relationships/hyperlink" Target="#'&#1576;&#1610;&#1575;&#1606;&#1575;&#1578; &#1585;&#1608;&#1575;&#1578;&#1576; &#1583;&#1575;&#1585; &#1575;&#1604;&#1602;&#1604;&#1605;'!A1"/><Relationship Id="rId16" Type="http://schemas.openxmlformats.org/officeDocument/2006/relationships/hyperlink" Target="#'&#1575;&#1604;&#1602;&#1583;&#1585;&#1575;&#1578; &#1608;&#1575;&#1604;&#1578;&#1581;&#1589;&#1610;&#1604;&#1610;'!A1"/><Relationship Id="rId20" Type="http://schemas.openxmlformats.org/officeDocument/2006/relationships/hyperlink" Target="#'&#1605;&#1602;&#1575;&#1585;&#1606;&#1577; &#1575;&#1604;&#1606;&#1605;&#1608;'!A1"/><Relationship Id="rId1" Type="http://schemas.openxmlformats.org/officeDocument/2006/relationships/hyperlink" Target="#'&#1605;&#1572;&#1588;&#1585;&#1575;&#1578; &#1575;&#1604;&#1605;&#1580;&#1605;&#1593;'!A1"/><Relationship Id="rId6" Type="http://schemas.openxmlformats.org/officeDocument/2006/relationships/hyperlink" Target="#'&#1575;&#1604;&#1573;&#1581;&#1589;&#1575;&#1569; &#1575;&#1604;&#1593;&#1575;&#1605; &#1604;&#1604;&#1605;&#1580;&#1605;&#1593;'!A1"/><Relationship Id="rId11" Type="http://schemas.openxmlformats.org/officeDocument/2006/relationships/hyperlink" Target="#'&#1575;&#1583;&#1575;&#1585;&#1610;&#1610;&#1606; &#1583;&#1575;&#1585; &#1575;&#1604;&#1602;&#1604;&#1605;'!A1"/><Relationship Id="rId5" Type="http://schemas.openxmlformats.org/officeDocument/2006/relationships/hyperlink" Target="#'&#1573;&#1581;&#1589;&#1575;&#1569; &#1575;&#1604;&#1591;&#1604;&#1575;&#1576;'!A1"/><Relationship Id="rId15" Type="http://schemas.openxmlformats.org/officeDocument/2006/relationships/hyperlink" Target="#'&#1575;&#1587;&#1606;&#1575;&#1583; &#1576;&#1606;&#1610;&#1606; &#1601;&#1633;'!A1"/><Relationship Id="rId10" Type="http://schemas.openxmlformats.org/officeDocument/2006/relationships/hyperlink" Target="#&#1575;&#1604;&#1605;&#1593;&#1604;&#1605;&#1575;&#1578;!A1"/><Relationship Id="rId19" Type="http://schemas.openxmlformats.org/officeDocument/2006/relationships/hyperlink" Target="#'&#1573;&#1583;&#1575;&#1585;&#1577; &#1575;&#1604;&#1605;&#1580;&#1605;&#1593;'!A1"/><Relationship Id="rId4" Type="http://schemas.openxmlformats.org/officeDocument/2006/relationships/hyperlink" Target="#'&#1573;&#1581;&#1589;&#1575;&#1569; &#1575;&#1604;&#1578;&#1582;&#1589;&#1589;&#1575;&#1578;'!A1"/><Relationship Id="rId9" Type="http://schemas.openxmlformats.org/officeDocument/2006/relationships/hyperlink" Target="#&#1575;&#1604;&#1605;&#1593;&#1604;&#1605;&#1610;&#1606;!A1"/><Relationship Id="rId14" Type="http://schemas.openxmlformats.org/officeDocument/2006/relationships/hyperlink" Target="#'&#1575;&#1587;&#1606;&#1575;&#1583; &#1575;&#1604;&#1576;&#1606;&#1575;&#1578; &#1601;&#1633;'!A1"/></Relationships>
</file>

<file path=xl/drawings/_rels/drawing2.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3.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4.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5.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6.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7.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8.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9.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10.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11.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12.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13.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14.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15.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16.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17.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18.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1.png"/><Relationship Id="rId1" Type="http://schemas.openxmlformats.org/officeDocument/2006/relationships/hyperlink" Target="#'&#1583;&#1604;&#1610;&#1604; &#1575;&#1604;&#1605;&#1604;&#1601;'!A1"/></Relationships>
</file>

<file path=xl/drawings/_rels/drawing19.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20.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_rels/drawing21.xml.rels><?xml version="1.0" encoding="UTF-8" standalone="yes"?>
<Relationships xmlns="http://schemas.openxmlformats.org/package/2006/relationships"><Relationship Id="rId1" Type="http://schemas.openxmlformats.org/officeDocument/2006/relationships/hyperlink" Target="#'&#1583;&#1604;&#1610;&#1604; &#1575;&#1604;&#1605;&#1604;&#1601;'!A1"/></Relationships>
</file>

<file path=xl/drawings/drawing1.xml><?xml version="1.0" encoding="utf-8"?>
<xdr:wsDr xmlns:xdr="http://schemas.openxmlformats.org/drawingml/2006/spreadsheetDrawing" xmlns:a="http://schemas.openxmlformats.org/drawingml/2006/main">
  <xdr:twoCellAnchor>
    <xdr:from>
      <xdr:col>11</xdr:col>
      <xdr:colOff>428625</xdr:colOff>
      <xdr:row>7</xdr:row>
      <xdr:rowOff>104776</xdr:rowOff>
    </xdr:from>
    <xdr:to>
      <xdr:col>18</xdr:col>
      <xdr:colOff>584199</xdr:colOff>
      <xdr:row>12</xdr:row>
      <xdr:rowOff>127000</xdr:rowOff>
    </xdr:to>
    <xdr:sp macro="" textlink="">
      <xdr:nvSpPr>
        <xdr:cNvPr id="9" name="مستطيل مستدير الزوايا 8">
          <a:hlinkClick xmlns:r="http://schemas.openxmlformats.org/officeDocument/2006/relationships" r:id="rId1"/>
          <a:extLst>
            <a:ext uri="{FF2B5EF4-FFF2-40B4-BE49-F238E27FC236}">
              <a16:creationId xmlns:a16="http://schemas.microsoft.com/office/drawing/2014/main" id="{00000000-0008-0000-0200-000009000000}"/>
            </a:ext>
          </a:extLst>
        </xdr:cNvPr>
        <xdr:cNvSpPr/>
      </xdr:nvSpPr>
      <xdr:spPr>
        <a:xfrm>
          <a:off x="11223218601" y="1374776"/>
          <a:ext cx="4956174" cy="911224"/>
        </a:xfrm>
        <a:prstGeom prst="roundRect">
          <a:avLst/>
        </a:prstGeom>
        <a:solidFill>
          <a:srgbClr val="0070C0"/>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en-US" sz="2400" b="1"/>
            <a:t>STR / SAR / SSR</a:t>
          </a:r>
          <a:r>
            <a:rPr lang="en-US" sz="2400" b="1" baseline="0"/>
            <a:t> /</a:t>
          </a:r>
          <a:r>
            <a:rPr lang="en-US" sz="2400" b="1"/>
            <a:t> SER</a:t>
          </a:r>
          <a:endParaRPr lang="ar-SA" sz="2400" b="1"/>
        </a:p>
      </xdr:txBody>
    </xdr:sp>
    <xdr:clientData/>
  </xdr:twoCellAnchor>
  <xdr:twoCellAnchor>
    <xdr:from>
      <xdr:col>1</xdr:col>
      <xdr:colOff>431800</xdr:colOff>
      <xdr:row>46</xdr:row>
      <xdr:rowOff>95249</xdr:rowOff>
    </xdr:from>
    <xdr:to>
      <xdr:col>4</xdr:col>
      <xdr:colOff>269081</xdr:colOff>
      <xdr:row>49</xdr:row>
      <xdr:rowOff>101600</xdr:rowOff>
    </xdr:to>
    <xdr:sp macro="" textlink="">
      <xdr:nvSpPr>
        <xdr:cNvPr id="3" name="مستطيل مستدير الزوايا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11233134919" y="8147049"/>
          <a:ext cx="1894681" cy="539751"/>
        </a:xfrm>
        <a:prstGeom prst="roundRect">
          <a:avLst/>
        </a:prstGeom>
        <a:solidFill>
          <a:schemeClr val="bg1"/>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marL="0" indent="0" algn="ctr" rtl="1"/>
          <a:r>
            <a:rPr lang="ar-SA" sz="1800" b="1" cap="none" spc="0">
              <a:ln w="1905"/>
              <a:solidFill>
                <a:schemeClr val="tx2">
                  <a:lumMod val="75000"/>
                </a:schemeClr>
              </a:solidFill>
              <a:effectLst>
                <a:innerShdw blurRad="69850" dist="43180" dir="5400000">
                  <a:srgbClr val="000000">
                    <a:alpha val="65000"/>
                  </a:srgbClr>
                </a:innerShdw>
              </a:effectLst>
              <a:latin typeface="Simplified Arabic" pitchFamily="18" charset="-78"/>
              <a:ea typeface="+mn-ea"/>
              <a:cs typeface="Simplified Arabic" pitchFamily="18" charset="-78"/>
            </a:rPr>
            <a:t>الوصف الوظيفي </a:t>
          </a:r>
        </a:p>
      </xdr:txBody>
    </xdr:sp>
    <xdr:clientData/>
  </xdr:twoCellAnchor>
  <xdr:twoCellAnchor>
    <xdr:from>
      <xdr:col>25</xdr:col>
      <xdr:colOff>241299</xdr:colOff>
      <xdr:row>22</xdr:row>
      <xdr:rowOff>79375</xdr:rowOff>
    </xdr:from>
    <xdr:to>
      <xdr:col>28</xdr:col>
      <xdr:colOff>457200</xdr:colOff>
      <xdr:row>25</xdr:row>
      <xdr:rowOff>139701</xdr:rowOff>
    </xdr:to>
    <xdr:sp macro="" textlink="">
      <xdr:nvSpPr>
        <xdr:cNvPr id="5" name="مستطيل مستدير الزوايا 4">
          <a:hlinkClick xmlns:r="http://schemas.openxmlformats.org/officeDocument/2006/relationships" r:id="rId3"/>
          <a:extLst>
            <a:ext uri="{FF2B5EF4-FFF2-40B4-BE49-F238E27FC236}">
              <a16:creationId xmlns:a16="http://schemas.microsoft.com/office/drawing/2014/main" id="{00000000-0008-0000-0200-000005000000}"/>
            </a:ext>
          </a:extLst>
        </xdr:cNvPr>
        <xdr:cNvSpPr/>
      </xdr:nvSpPr>
      <xdr:spPr>
        <a:xfrm>
          <a:off x="11216487600" y="4016375"/>
          <a:ext cx="2273301" cy="593726"/>
        </a:xfrm>
        <a:prstGeom prst="roundRect">
          <a:avLst/>
        </a:prstGeom>
        <a:solidFill>
          <a:srgbClr val="FFFF00"/>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scene3d>
            <a:camera prst="orthographicFront"/>
            <a:lightRig rig="soft" dir="tl">
              <a:rot lat="0" lon="0" rev="0"/>
            </a:lightRig>
          </a:scene3d>
          <a:sp3d contourW="25400" prstMaterial="matte">
            <a:bevelT w="25400" h="55880" prst="artDeco"/>
            <a:contourClr>
              <a:schemeClr val="accent2">
                <a:tint val="20000"/>
              </a:schemeClr>
            </a:contourClr>
          </a:sp3d>
        </a:bodyPr>
        <a:lstStyle/>
        <a:p>
          <a:pPr marL="0" indent="0" algn="ctr" rtl="1"/>
          <a:r>
            <a:rPr lang="ar-SA" sz="1800" b="1" cap="none" spc="0">
              <a:ln w="1905"/>
              <a:solidFill>
                <a:srgbClr val="002060"/>
              </a:solidFill>
              <a:effectLst>
                <a:innerShdw>
                  <a:srgbClr val="000000"/>
                </a:innerShdw>
              </a:effectLst>
              <a:latin typeface="Simplified Arabic" pitchFamily="18" charset="-78"/>
              <a:ea typeface="+mn-ea"/>
              <a:cs typeface="Simplified Arabic" pitchFamily="18" charset="-78"/>
            </a:rPr>
            <a:t>مساحات الفصول</a:t>
          </a:r>
        </a:p>
      </xdr:txBody>
    </xdr:sp>
    <xdr:clientData/>
  </xdr:twoCellAnchor>
  <xdr:twoCellAnchor>
    <xdr:from>
      <xdr:col>25</xdr:col>
      <xdr:colOff>244475</xdr:colOff>
      <xdr:row>17</xdr:row>
      <xdr:rowOff>12701</xdr:rowOff>
    </xdr:from>
    <xdr:to>
      <xdr:col>28</xdr:col>
      <xdr:colOff>419100</xdr:colOff>
      <xdr:row>20</xdr:row>
      <xdr:rowOff>38100</xdr:rowOff>
    </xdr:to>
    <xdr:sp macro="" textlink="">
      <xdr:nvSpPr>
        <xdr:cNvPr id="6" name="مستطيل مستدير الزوايا 5">
          <a:hlinkClick xmlns:r="http://schemas.openxmlformats.org/officeDocument/2006/relationships" r:id="rId4"/>
          <a:extLst>
            <a:ext uri="{FF2B5EF4-FFF2-40B4-BE49-F238E27FC236}">
              <a16:creationId xmlns:a16="http://schemas.microsoft.com/office/drawing/2014/main" id="{00000000-0008-0000-0200-000006000000}"/>
            </a:ext>
          </a:extLst>
        </xdr:cNvPr>
        <xdr:cNvSpPr/>
      </xdr:nvSpPr>
      <xdr:spPr>
        <a:xfrm>
          <a:off x="11216525700" y="3060701"/>
          <a:ext cx="2232025" cy="558799"/>
        </a:xfrm>
        <a:prstGeom prst="roundRect">
          <a:avLst/>
        </a:prstGeom>
        <a:solidFill>
          <a:srgbClr val="FFFF00"/>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800" b="1" cap="none" spc="0">
              <a:ln w="10541" cmpd="sng">
                <a:solidFill>
                  <a:schemeClr val="accent1">
                    <a:shade val="88000"/>
                    <a:satMod val="110000"/>
                  </a:schemeClr>
                </a:solidFill>
                <a:prstDash val="solid"/>
              </a:ln>
              <a:solidFill>
                <a:schemeClr val="tx2">
                  <a:lumMod val="75000"/>
                </a:schemeClr>
              </a:solidFill>
              <a:effectLst/>
              <a:latin typeface="Simplified Arabic" pitchFamily="18" charset="-78"/>
              <a:cs typeface="Simplified Arabic" pitchFamily="18" charset="-78"/>
            </a:rPr>
            <a:t>إحصاء التخصصات </a:t>
          </a:r>
        </a:p>
      </xdr:txBody>
    </xdr:sp>
    <xdr:clientData/>
  </xdr:twoCellAnchor>
  <xdr:twoCellAnchor>
    <xdr:from>
      <xdr:col>25</xdr:col>
      <xdr:colOff>219075</xdr:colOff>
      <xdr:row>11</xdr:row>
      <xdr:rowOff>50801</xdr:rowOff>
    </xdr:from>
    <xdr:to>
      <xdr:col>28</xdr:col>
      <xdr:colOff>431800</xdr:colOff>
      <xdr:row>14</xdr:row>
      <xdr:rowOff>165100</xdr:rowOff>
    </xdr:to>
    <xdr:sp macro="" textlink="">
      <xdr:nvSpPr>
        <xdr:cNvPr id="8" name="مستطيل مستدير الزوايا 7">
          <a:hlinkClick xmlns:r="http://schemas.openxmlformats.org/officeDocument/2006/relationships" r:id="rId5"/>
          <a:extLst>
            <a:ext uri="{FF2B5EF4-FFF2-40B4-BE49-F238E27FC236}">
              <a16:creationId xmlns:a16="http://schemas.microsoft.com/office/drawing/2014/main" id="{00000000-0008-0000-0200-000008000000}"/>
            </a:ext>
          </a:extLst>
        </xdr:cNvPr>
        <xdr:cNvSpPr/>
      </xdr:nvSpPr>
      <xdr:spPr>
        <a:xfrm>
          <a:off x="11216513000" y="2032001"/>
          <a:ext cx="2270125" cy="647699"/>
        </a:xfrm>
        <a:prstGeom prst="roundRect">
          <a:avLst/>
        </a:prstGeom>
        <a:solidFill>
          <a:srgbClr val="FFFF00"/>
        </a:solidFill>
        <a:ln>
          <a:solidFill>
            <a:schemeClr val="tx2"/>
          </a:solid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marL="0" indent="0" algn="ctr" rtl="1"/>
          <a:r>
            <a:rPr lang="ar-SA" sz="1800" b="1" cap="none" spc="0">
              <a:ln w="10541" cmpd="sng">
                <a:solidFill>
                  <a:schemeClr val="accent1">
                    <a:shade val="88000"/>
                    <a:satMod val="110000"/>
                  </a:schemeClr>
                </a:solidFill>
                <a:prstDash val="solid"/>
              </a:ln>
              <a:solidFill>
                <a:schemeClr val="tx1"/>
              </a:solidFill>
              <a:effectLst/>
              <a:latin typeface="Simplified Arabic" pitchFamily="18" charset="-78"/>
              <a:ea typeface="+mn-ea"/>
              <a:cs typeface="Simplified Arabic" pitchFamily="18" charset="-78"/>
            </a:rPr>
            <a:t>إحصاء الفصول والطلاب </a:t>
          </a:r>
        </a:p>
      </xdr:txBody>
    </xdr:sp>
    <xdr:clientData/>
  </xdr:twoCellAnchor>
  <xdr:twoCellAnchor>
    <xdr:from>
      <xdr:col>25</xdr:col>
      <xdr:colOff>276225</xdr:colOff>
      <xdr:row>33</xdr:row>
      <xdr:rowOff>69849</xdr:rowOff>
    </xdr:from>
    <xdr:to>
      <xdr:col>28</xdr:col>
      <xdr:colOff>457200</xdr:colOff>
      <xdr:row>37</xdr:row>
      <xdr:rowOff>38100</xdr:rowOff>
    </xdr:to>
    <xdr:sp macro="" textlink="">
      <xdr:nvSpPr>
        <xdr:cNvPr id="10" name="مستطيل مستدير الزوايا 9">
          <a:hlinkClick xmlns:r="http://schemas.openxmlformats.org/officeDocument/2006/relationships" r:id="rId6"/>
          <a:extLst>
            <a:ext uri="{FF2B5EF4-FFF2-40B4-BE49-F238E27FC236}">
              <a16:creationId xmlns:a16="http://schemas.microsoft.com/office/drawing/2014/main" id="{00000000-0008-0000-0200-00000A000000}"/>
            </a:ext>
          </a:extLst>
        </xdr:cNvPr>
        <xdr:cNvSpPr/>
      </xdr:nvSpPr>
      <xdr:spPr>
        <a:xfrm>
          <a:off x="11216487600" y="5962649"/>
          <a:ext cx="2238375" cy="679451"/>
        </a:xfrm>
        <a:prstGeom prst="roundRect">
          <a:avLst/>
        </a:prstGeom>
        <a:solidFill>
          <a:srgbClr val="FFFF00"/>
        </a:solidFill>
        <a:ln>
          <a:solidFill>
            <a:schemeClr val="accent1">
              <a:lumMod val="75000"/>
            </a:schemeClr>
          </a:solid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rtl="1"/>
          <a:r>
            <a:rPr lang="ar-SA" sz="1800" b="1">
              <a:solidFill>
                <a:schemeClr val="tx2">
                  <a:lumMod val="75000"/>
                </a:schemeClr>
              </a:solidFill>
              <a:latin typeface="+mn-lt"/>
              <a:ea typeface="+mn-ea"/>
              <a:cs typeface="+mn-cs"/>
            </a:rPr>
            <a:t>الإحصاء العام للمجمع </a:t>
          </a:r>
        </a:p>
      </xdr:txBody>
    </xdr:sp>
    <xdr:clientData/>
  </xdr:twoCellAnchor>
  <xdr:twoCellAnchor>
    <xdr:from>
      <xdr:col>25</xdr:col>
      <xdr:colOff>196851</xdr:colOff>
      <xdr:row>27</xdr:row>
      <xdr:rowOff>174625</xdr:rowOff>
    </xdr:from>
    <xdr:to>
      <xdr:col>28</xdr:col>
      <xdr:colOff>495300</xdr:colOff>
      <xdr:row>31</xdr:row>
      <xdr:rowOff>25400</xdr:rowOff>
    </xdr:to>
    <xdr:sp macro="" textlink="">
      <xdr:nvSpPr>
        <xdr:cNvPr id="12" name="مستطيل مستدير الزوايا 11">
          <a:hlinkClick xmlns:r="http://schemas.openxmlformats.org/officeDocument/2006/relationships" r:id="rId7"/>
          <a:extLst>
            <a:ext uri="{FF2B5EF4-FFF2-40B4-BE49-F238E27FC236}">
              <a16:creationId xmlns:a16="http://schemas.microsoft.com/office/drawing/2014/main" id="{00000000-0008-0000-0200-00000C000000}"/>
            </a:ext>
          </a:extLst>
        </xdr:cNvPr>
        <xdr:cNvSpPr/>
      </xdr:nvSpPr>
      <xdr:spPr>
        <a:xfrm>
          <a:off x="11216449500" y="5000625"/>
          <a:ext cx="2355849" cy="561975"/>
        </a:xfrm>
        <a:prstGeom prst="roundRect">
          <a:avLst/>
        </a:prstGeom>
        <a:solidFill>
          <a:srgbClr val="FFFF00"/>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marL="0" indent="0" algn="ctr" rtl="1"/>
          <a:r>
            <a:rPr lang="ar-SA" sz="1800" b="1">
              <a:solidFill>
                <a:schemeClr val="tx2">
                  <a:lumMod val="75000"/>
                </a:schemeClr>
              </a:solidFill>
              <a:latin typeface="+mn-lt"/>
              <a:ea typeface="+mn-ea"/>
              <a:cs typeface="+mn-cs"/>
            </a:rPr>
            <a:t>الطاقة الاستيعابية</a:t>
          </a:r>
        </a:p>
      </xdr:txBody>
    </xdr:sp>
    <xdr:clientData/>
  </xdr:twoCellAnchor>
  <xdr:twoCellAnchor>
    <xdr:from>
      <xdr:col>25</xdr:col>
      <xdr:colOff>279399</xdr:colOff>
      <xdr:row>39</xdr:row>
      <xdr:rowOff>85725</xdr:rowOff>
    </xdr:from>
    <xdr:to>
      <xdr:col>28</xdr:col>
      <xdr:colOff>444500</xdr:colOff>
      <xdr:row>44</xdr:row>
      <xdr:rowOff>0</xdr:rowOff>
    </xdr:to>
    <xdr:sp macro="" textlink="">
      <xdr:nvSpPr>
        <xdr:cNvPr id="13" name="مستطيل مستدير الزوايا 12">
          <a:hlinkClick xmlns:r="http://schemas.openxmlformats.org/officeDocument/2006/relationships" r:id="rId8"/>
          <a:extLst>
            <a:ext uri="{FF2B5EF4-FFF2-40B4-BE49-F238E27FC236}">
              <a16:creationId xmlns:a16="http://schemas.microsoft.com/office/drawing/2014/main" id="{00000000-0008-0000-0200-00000D000000}"/>
            </a:ext>
          </a:extLst>
        </xdr:cNvPr>
        <xdr:cNvSpPr/>
      </xdr:nvSpPr>
      <xdr:spPr>
        <a:xfrm>
          <a:off x="11216500300" y="7045325"/>
          <a:ext cx="2222501" cy="650875"/>
        </a:xfrm>
        <a:prstGeom prst="roundRect">
          <a:avLst/>
        </a:prstGeom>
        <a:solidFill>
          <a:srgbClr val="FFFF00"/>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rtl="1"/>
          <a:r>
            <a:rPr lang="ar-SA" sz="1800" b="1">
              <a:solidFill>
                <a:schemeClr val="tx2">
                  <a:lumMod val="75000"/>
                </a:schemeClr>
              </a:solidFill>
              <a:latin typeface="+mn-lt"/>
              <a:ea typeface="+mn-ea"/>
              <a:cs typeface="+mn-cs"/>
            </a:rPr>
            <a:t>مقارنة اعداد</a:t>
          </a:r>
          <a:r>
            <a:rPr lang="ar-SA" sz="1800" b="1" baseline="0">
              <a:solidFill>
                <a:schemeClr val="tx2">
                  <a:lumMod val="75000"/>
                </a:schemeClr>
              </a:solidFill>
              <a:latin typeface="+mn-lt"/>
              <a:ea typeface="+mn-ea"/>
              <a:cs typeface="+mn-cs"/>
            </a:rPr>
            <a:t> الطلاب</a:t>
          </a:r>
          <a:endParaRPr lang="ar-SA" sz="1800" b="1">
            <a:solidFill>
              <a:schemeClr val="tx2">
                <a:lumMod val="75000"/>
              </a:schemeClr>
            </a:solidFill>
            <a:latin typeface="+mn-lt"/>
            <a:ea typeface="+mn-ea"/>
            <a:cs typeface="+mn-cs"/>
          </a:endParaRPr>
        </a:p>
      </xdr:txBody>
    </xdr:sp>
    <xdr:clientData/>
  </xdr:twoCellAnchor>
  <xdr:twoCellAnchor>
    <xdr:from>
      <xdr:col>1</xdr:col>
      <xdr:colOff>549275</xdr:colOff>
      <xdr:row>16</xdr:row>
      <xdr:rowOff>0</xdr:rowOff>
    </xdr:from>
    <xdr:to>
      <xdr:col>4</xdr:col>
      <xdr:colOff>462953</xdr:colOff>
      <xdr:row>19</xdr:row>
      <xdr:rowOff>139700</xdr:rowOff>
    </xdr:to>
    <xdr:sp macro="" textlink="">
      <xdr:nvSpPr>
        <xdr:cNvPr id="14" name="مستطيل مستدير الزوايا 13">
          <a:hlinkClick xmlns:r="http://schemas.openxmlformats.org/officeDocument/2006/relationships" r:id="rId9"/>
          <a:extLst>
            <a:ext uri="{FF2B5EF4-FFF2-40B4-BE49-F238E27FC236}">
              <a16:creationId xmlns:a16="http://schemas.microsoft.com/office/drawing/2014/main" id="{00000000-0008-0000-0200-00000E000000}"/>
            </a:ext>
          </a:extLst>
        </xdr:cNvPr>
        <xdr:cNvSpPr/>
      </xdr:nvSpPr>
      <xdr:spPr>
        <a:xfrm>
          <a:off x="11232941047" y="2870200"/>
          <a:ext cx="1971078" cy="673100"/>
        </a:xfrm>
        <a:prstGeom prst="roundRect">
          <a:avLst/>
        </a:prstGeom>
        <a:solidFill>
          <a:schemeClr val="bg1"/>
        </a:solidFill>
        <a:ln>
          <a:solidFill>
            <a:schemeClr val="tx2"/>
          </a:solid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marL="0" indent="0" algn="ctr" rtl="1"/>
          <a:r>
            <a:rPr lang="ar-SA" sz="1800" b="1" cap="none" spc="0">
              <a:ln w="10541" cmpd="sng">
                <a:solidFill>
                  <a:schemeClr val="accent1">
                    <a:shade val="88000"/>
                    <a:satMod val="110000"/>
                  </a:schemeClr>
                </a:solidFill>
                <a:prstDash val="solid"/>
              </a:ln>
              <a:solidFill>
                <a:schemeClr val="tx1"/>
              </a:solidFill>
              <a:effectLst/>
              <a:latin typeface="Simplified Arabic" pitchFamily="18" charset="-78"/>
              <a:ea typeface="+mn-ea"/>
              <a:cs typeface="Simplified Arabic" pitchFamily="18" charset="-78"/>
            </a:rPr>
            <a:t>بيانات المعلمين</a:t>
          </a:r>
        </a:p>
      </xdr:txBody>
    </xdr:sp>
    <xdr:clientData/>
  </xdr:twoCellAnchor>
  <xdr:twoCellAnchor>
    <xdr:from>
      <xdr:col>1</xdr:col>
      <xdr:colOff>504825</xdr:colOff>
      <xdr:row>21</xdr:row>
      <xdr:rowOff>123825</xdr:rowOff>
    </xdr:from>
    <xdr:to>
      <xdr:col>4</xdr:col>
      <xdr:colOff>433784</xdr:colOff>
      <xdr:row>25</xdr:row>
      <xdr:rowOff>63500</xdr:rowOff>
    </xdr:to>
    <xdr:sp macro="" textlink="">
      <xdr:nvSpPr>
        <xdr:cNvPr id="16" name="مستطيل مستدير الزوايا 15">
          <a:hlinkClick xmlns:r="http://schemas.openxmlformats.org/officeDocument/2006/relationships" r:id="rId10"/>
          <a:extLst>
            <a:ext uri="{FF2B5EF4-FFF2-40B4-BE49-F238E27FC236}">
              <a16:creationId xmlns:a16="http://schemas.microsoft.com/office/drawing/2014/main" id="{00000000-0008-0000-0200-000010000000}"/>
            </a:ext>
          </a:extLst>
        </xdr:cNvPr>
        <xdr:cNvSpPr/>
      </xdr:nvSpPr>
      <xdr:spPr>
        <a:xfrm>
          <a:off x="11232970216" y="3883025"/>
          <a:ext cx="1986359" cy="650875"/>
        </a:xfrm>
        <a:prstGeom prst="roundRect">
          <a:avLst/>
        </a:prstGeom>
        <a:solidFill>
          <a:schemeClr val="bg1"/>
        </a:solidFill>
        <a:ln>
          <a:solidFill>
            <a:schemeClr val="tx2"/>
          </a:solid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marL="0" indent="0" algn="ctr" rtl="1"/>
          <a:r>
            <a:rPr lang="ar-SA" sz="1800" b="1" cap="none" spc="0">
              <a:ln w="10541" cmpd="sng">
                <a:solidFill>
                  <a:schemeClr val="accent1">
                    <a:shade val="88000"/>
                    <a:satMod val="110000"/>
                  </a:schemeClr>
                </a:solidFill>
                <a:prstDash val="solid"/>
              </a:ln>
              <a:solidFill>
                <a:schemeClr val="tx1"/>
              </a:solidFill>
              <a:effectLst/>
              <a:latin typeface="Simplified Arabic" pitchFamily="18" charset="-78"/>
              <a:ea typeface="+mn-ea"/>
              <a:cs typeface="Simplified Arabic" pitchFamily="18" charset="-78"/>
            </a:rPr>
            <a:t>بيانات المعلمات</a:t>
          </a:r>
        </a:p>
      </xdr:txBody>
    </xdr:sp>
    <xdr:clientData/>
  </xdr:twoCellAnchor>
  <xdr:twoCellAnchor>
    <xdr:from>
      <xdr:col>1</xdr:col>
      <xdr:colOff>466725</xdr:colOff>
      <xdr:row>27</xdr:row>
      <xdr:rowOff>158750</xdr:rowOff>
    </xdr:from>
    <xdr:to>
      <xdr:col>4</xdr:col>
      <xdr:colOff>395684</xdr:colOff>
      <xdr:row>31</xdr:row>
      <xdr:rowOff>101600</xdr:rowOff>
    </xdr:to>
    <xdr:sp macro="" textlink="">
      <xdr:nvSpPr>
        <xdr:cNvPr id="17" name="مستطيل مستدير الزوايا 16">
          <a:hlinkClick xmlns:r="http://schemas.openxmlformats.org/officeDocument/2006/relationships" r:id="rId11"/>
          <a:extLst>
            <a:ext uri="{FF2B5EF4-FFF2-40B4-BE49-F238E27FC236}">
              <a16:creationId xmlns:a16="http://schemas.microsoft.com/office/drawing/2014/main" id="{00000000-0008-0000-0200-000011000000}"/>
            </a:ext>
          </a:extLst>
        </xdr:cNvPr>
        <xdr:cNvSpPr/>
      </xdr:nvSpPr>
      <xdr:spPr>
        <a:xfrm>
          <a:off x="11233008316" y="4984750"/>
          <a:ext cx="1986359" cy="654050"/>
        </a:xfrm>
        <a:prstGeom prst="roundRect">
          <a:avLst/>
        </a:prstGeom>
        <a:solidFill>
          <a:schemeClr val="bg1"/>
        </a:solidFill>
        <a:ln>
          <a:solidFill>
            <a:schemeClr val="tx2"/>
          </a:solid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marL="0" indent="0" algn="ctr" rtl="1"/>
          <a:r>
            <a:rPr lang="ar-SA" sz="1800" b="1" cap="none" spc="0">
              <a:ln w="10541" cmpd="sng">
                <a:solidFill>
                  <a:schemeClr val="accent1">
                    <a:shade val="88000"/>
                    <a:satMod val="110000"/>
                  </a:schemeClr>
                </a:solidFill>
                <a:prstDash val="solid"/>
              </a:ln>
              <a:solidFill>
                <a:schemeClr val="tx1"/>
              </a:solidFill>
              <a:effectLst/>
              <a:latin typeface="Simplified Arabic" pitchFamily="18" charset="-78"/>
              <a:ea typeface="+mn-ea"/>
              <a:cs typeface="Simplified Arabic" pitchFamily="18" charset="-78"/>
            </a:rPr>
            <a:t>بيانات الإداريين</a:t>
          </a:r>
        </a:p>
      </xdr:txBody>
    </xdr:sp>
    <xdr:clientData/>
  </xdr:twoCellAnchor>
  <xdr:twoCellAnchor>
    <xdr:from>
      <xdr:col>1</xdr:col>
      <xdr:colOff>466725</xdr:colOff>
      <xdr:row>33</xdr:row>
      <xdr:rowOff>133351</xdr:rowOff>
    </xdr:from>
    <xdr:to>
      <xdr:col>4</xdr:col>
      <xdr:colOff>395684</xdr:colOff>
      <xdr:row>37</xdr:row>
      <xdr:rowOff>63501</xdr:rowOff>
    </xdr:to>
    <xdr:sp macro="" textlink="">
      <xdr:nvSpPr>
        <xdr:cNvPr id="18" name="مستطيل مستدير الزوايا 17">
          <a:hlinkClick xmlns:r="http://schemas.openxmlformats.org/officeDocument/2006/relationships" r:id="rId12"/>
          <a:extLst>
            <a:ext uri="{FF2B5EF4-FFF2-40B4-BE49-F238E27FC236}">
              <a16:creationId xmlns:a16="http://schemas.microsoft.com/office/drawing/2014/main" id="{00000000-0008-0000-0200-000012000000}"/>
            </a:ext>
          </a:extLst>
        </xdr:cNvPr>
        <xdr:cNvSpPr/>
      </xdr:nvSpPr>
      <xdr:spPr>
        <a:xfrm>
          <a:off x="11233008316" y="6026151"/>
          <a:ext cx="1986359" cy="641350"/>
        </a:xfrm>
        <a:prstGeom prst="roundRect">
          <a:avLst/>
        </a:prstGeom>
        <a:solidFill>
          <a:schemeClr val="bg1"/>
        </a:solidFill>
        <a:ln>
          <a:solidFill>
            <a:schemeClr val="tx2"/>
          </a:solid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marL="0" indent="0" algn="ctr" rtl="1"/>
          <a:r>
            <a:rPr lang="ar-SA" sz="1800" b="1" cap="none" spc="0">
              <a:ln w="10541" cmpd="sng">
                <a:solidFill>
                  <a:schemeClr val="accent1">
                    <a:shade val="88000"/>
                    <a:satMod val="110000"/>
                  </a:schemeClr>
                </a:solidFill>
                <a:prstDash val="solid"/>
              </a:ln>
              <a:solidFill>
                <a:schemeClr val="tx1"/>
              </a:solidFill>
              <a:effectLst/>
              <a:latin typeface="Simplified Arabic" pitchFamily="18" charset="-78"/>
              <a:ea typeface="+mn-ea"/>
              <a:cs typeface="Simplified Arabic" pitchFamily="18" charset="-78"/>
            </a:rPr>
            <a:t>بيانات الإداريات</a:t>
          </a:r>
        </a:p>
      </xdr:txBody>
    </xdr:sp>
    <xdr:clientData/>
  </xdr:twoCellAnchor>
  <xdr:twoCellAnchor>
    <xdr:from>
      <xdr:col>1</xdr:col>
      <xdr:colOff>454024</xdr:colOff>
      <xdr:row>39</xdr:row>
      <xdr:rowOff>111127</xdr:rowOff>
    </xdr:from>
    <xdr:to>
      <xdr:col>4</xdr:col>
      <xdr:colOff>337144</xdr:colOff>
      <xdr:row>44</xdr:row>
      <xdr:rowOff>38101</xdr:rowOff>
    </xdr:to>
    <xdr:sp macro="" textlink="">
      <xdr:nvSpPr>
        <xdr:cNvPr id="23" name="مستطيل مستدير الزوايا 22">
          <a:hlinkClick xmlns:r="http://schemas.openxmlformats.org/officeDocument/2006/relationships" r:id="rId13"/>
          <a:extLst>
            <a:ext uri="{FF2B5EF4-FFF2-40B4-BE49-F238E27FC236}">
              <a16:creationId xmlns:a16="http://schemas.microsoft.com/office/drawing/2014/main" id="{00000000-0008-0000-0200-000017000000}"/>
            </a:ext>
          </a:extLst>
        </xdr:cNvPr>
        <xdr:cNvSpPr/>
      </xdr:nvSpPr>
      <xdr:spPr>
        <a:xfrm>
          <a:off x="11233066856" y="7070727"/>
          <a:ext cx="1940520" cy="663574"/>
        </a:xfrm>
        <a:prstGeom prst="roundRect">
          <a:avLst/>
        </a:prstGeom>
        <a:solidFill>
          <a:schemeClr val="bg1"/>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marL="0" indent="0" algn="ctr" rtl="1"/>
          <a:r>
            <a:rPr lang="ar-SA" sz="1800" b="1" cap="none" spc="0">
              <a:ln w="1905"/>
              <a:solidFill>
                <a:schemeClr val="tx2">
                  <a:lumMod val="75000"/>
                </a:schemeClr>
              </a:solidFill>
              <a:effectLst>
                <a:innerShdw blurRad="69850" dist="43180" dir="5400000">
                  <a:srgbClr val="000000">
                    <a:alpha val="65000"/>
                  </a:srgbClr>
                </a:innerShdw>
              </a:effectLst>
              <a:latin typeface="Simplified Arabic" pitchFamily="18" charset="-78"/>
              <a:ea typeface="+mn-ea"/>
              <a:cs typeface="Simplified Arabic" pitchFamily="18" charset="-78"/>
            </a:rPr>
            <a:t>الخدمات المساندة</a:t>
          </a:r>
        </a:p>
      </xdr:txBody>
    </xdr:sp>
    <xdr:clientData/>
  </xdr:twoCellAnchor>
  <xdr:twoCellAnchor>
    <xdr:from>
      <xdr:col>15</xdr:col>
      <xdr:colOff>311149</xdr:colOff>
      <xdr:row>15</xdr:row>
      <xdr:rowOff>171450</xdr:rowOff>
    </xdr:from>
    <xdr:to>
      <xdr:col>18</xdr:col>
      <xdr:colOff>317500</xdr:colOff>
      <xdr:row>19</xdr:row>
      <xdr:rowOff>38100</xdr:rowOff>
    </xdr:to>
    <xdr:sp macro="" textlink="">
      <xdr:nvSpPr>
        <xdr:cNvPr id="26" name="مستطيل مستدير الزوايا 25">
          <a:hlinkClick xmlns:r="http://schemas.openxmlformats.org/officeDocument/2006/relationships" r:id="rId14"/>
          <a:extLst>
            <a:ext uri="{FF2B5EF4-FFF2-40B4-BE49-F238E27FC236}">
              <a16:creationId xmlns:a16="http://schemas.microsoft.com/office/drawing/2014/main" id="{00000000-0008-0000-0200-00001A000000}"/>
            </a:ext>
          </a:extLst>
        </xdr:cNvPr>
        <xdr:cNvSpPr/>
      </xdr:nvSpPr>
      <xdr:spPr>
        <a:xfrm>
          <a:off x="11223485300" y="2863850"/>
          <a:ext cx="2063751" cy="577850"/>
        </a:xfrm>
        <a:prstGeom prst="roundRect">
          <a:avLst/>
        </a:prstGeom>
        <a:solidFill>
          <a:srgbClr val="FF93FF"/>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cap="none" spc="0">
              <a:ln w="1905"/>
              <a:solidFill>
                <a:schemeClr val="tx2">
                  <a:lumMod val="75000"/>
                </a:schemeClr>
              </a:solidFill>
              <a:effectLst>
                <a:innerShdw blurRad="69850" dist="43180" dir="5400000">
                  <a:srgbClr val="000000">
                    <a:alpha val="65000"/>
                  </a:srgbClr>
                </a:innerShdw>
              </a:effectLst>
              <a:latin typeface="Simplified Arabic" pitchFamily="18" charset="-78"/>
              <a:ea typeface="+mn-ea"/>
              <a:cs typeface="Simplified Arabic" pitchFamily="18" charset="-78"/>
            </a:rPr>
            <a:t>اسناد البنات ف١  </a:t>
          </a:r>
        </a:p>
      </xdr:txBody>
    </xdr:sp>
    <xdr:clientData/>
  </xdr:twoCellAnchor>
  <xdr:twoCellAnchor>
    <xdr:from>
      <xdr:col>11</xdr:col>
      <xdr:colOff>127001</xdr:colOff>
      <xdr:row>16</xdr:row>
      <xdr:rowOff>25399</xdr:rowOff>
    </xdr:from>
    <xdr:to>
      <xdr:col>14</xdr:col>
      <xdr:colOff>177800</xdr:colOff>
      <xdr:row>19</xdr:row>
      <xdr:rowOff>50800</xdr:rowOff>
    </xdr:to>
    <xdr:sp macro="" textlink="">
      <xdr:nvSpPr>
        <xdr:cNvPr id="11" name="مستطيل مستدير الزوايا 10">
          <a:hlinkClick xmlns:r="http://schemas.openxmlformats.org/officeDocument/2006/relationships" r:id="rId15"/>
          <a:extLst>
            <a:ext uri="{FF2B5EF4-FFF2-40B4-BE49-F238E27FC236}">
              <a16:creationId xmlns:a16="http://schemas.microsoft.com/office/drawing/2014/main" id="{00000000-0008-0000-0200-00000B000000}"/>
            </a:ext>
          </a:extLst>
        </xdr:cNvPr>
        <xdr:cNvSpPr/>
      </xdr:nvSpPr>
      <xdr:spPr>
        <a:xfrm>
          <a:off x="11226368200" y="2895599"/>
          <a:ext cx="2108199" cy="558801"/>
        </a:xfrm>
        <a:prstGeom prst="roundRect">
          <a:avLst/>
        </a:prstGeom>
        <a:solidFill>
          <a:srgbClr val="FFC000"/>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cap="none" spc="0">
              <a:ln w="1905"/>
              <a:solidFill>
                <a:schemeClr val="tx1"/>
              </a:solidFill>
              <a:effectLst>
                <a:innerShdw blurRad="69850" dist="43180" dir="5400000">
                  <a:srgbClr val="000000">
                    <a:alpha val="65000"/>
                  </a:srgbClr>
                </a:innerShdw>
              </a:effectLst>
              <a:latin typeface="Simplified Arabic" pitchFamily="18" charset="-78"/>
              <a:ea typeface="+mn-ea"/>
              <a:cs typeface="Simplified Arabic" pitchFamily="18" charset="-78"/>
            </a:rPr>
            <a:t>اسناد البنين ف١</a:t>
          </a:r>
          <a:endParaRPr lang="ar-SA" sz="1600" b="1" cap="none" spc="0">
            <a:ln w="1905"/>
            <a:solidFill>
              <a:schemeClr val="tx1"/>
            </a:solidFill>
            <a:effectLst>
              <a:innerShdw blurRad="69850" dist="43180" dir="5400000">
                <a:srgbClr val="000000">
                  <a:alpha val="65000"/>
                </a:srgbClr>
              </a:innerShdw>
            </a:effectLst>
          </a:endParaRPr>
        </a:p>
      </xdr:txBody>
    </xdr:sp>
    <xdr:clientData/>
  </xdr:twoCellAnchor>
  <xdr:twoCellAnchor>
    <xdr:from>
      <xdr:col>17</xdr:col>
      <xdr:colOff>511174</xdr:colOff>
      <xdr:row>36</xdr:row>
      <xdr:rowOff>88900</xdr:rowOff>
    </xdr:from>
    <xdr:to>
      <xdr:col>20</xdr:col>
      <xdr:colOff>596900</xdr:colOff>
      <xdr:row>40</xdr:row>
      <xdr:rowOff>12700</xdr:rowOff>
    </xdr:to>
    <xdr:sp macro="" textlink="">
      <xdr:nvSpPr>
        <xdr:cNvPr id="33" name="مستطيل مستدير الزوايا 32">
          <a:hlinkClick xmlns:r="http://schemas.openxmlformats.org/officeDocument/2006/relationships" r:id="rId16"/>
          <a:extLst>
            <a:ext uri="{FF2B5EF4-FFF2-40B4-BE49-F238E27FC236}">
              <a16:creationId xmlns:a16="http://schemas.microsoft.com/office/drawing/2014/main" id="{00000000-0008-0000-0200-000021000000}"/>
            </a:ext>
          </a:extLst>
        </xdr:cNvPr>
        <xdr:cNvSpPr/>
      </xdr:nvSpPr>
      <xdr:spPr>
        <a:xfrm>
          <a:off x="11221834300" y="6515100"/>
          <a:ext cx="2143126" cy="635000"/>
        </a:xfrm>
        <a:prstGeom prst="roundRect">
          <a:avLst/>
        </a:prstGeom>
        <a:solidFill>
          <a:srgbClr val="65F52B"/>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cap="none" spc="0">
              <a:ln w="1905"/>
              <a:solidFill>
                <a:schemeClr val="tx2">
                  <a:lumMod val="75000"/>
                </a:schemeClr>
              </a:solidFill>
              <a:effectLst>
                <a:innerShdw blurRad="69850" dist="43180" dir="5400000">
                  <a:srgbClr val="000000">
                    <a:alpha val="65000"/>
                  </a:srgbClr>
                </a:innerShdw>
              </a:effectLst>
              <a:latin typeface="Simplified Arabic" pitchFamily="18" charset="-78"/>
              <a:ea typeface="+mn-ea"/>
              <a:cs typeface="Simplified Arabic" pitchFamily="18" charset="-78"/>
            </a:rPr>
            <a:t>ترتيب القدرات والتحصيلي</a:t>
          </a:r>
        </a:p>
      </xdr:txBody>
    </xdr:sp>
    <xdr:clientData/>
  </xdr:twoCellAnchor>
  <xdr:twoCellAnchor>
    <xdr:from>
      <xdr:col>25</xdr:col>
      <xdr:colOff>142874</xdr:colOff>
      <xdr:row>45</xdr:row>
      <xdr:rowOff>152399</xdr:rowOff>
    </xdr:from>
    <xdr:to>
      <xdr:col>28</xdr:col>
      <xdr:colOff>520700</xdr:colOff>
      <xdr:row>49</xdr:row>
      <xdr:rowOff>50800</xdr:rowOff>
    </xdr:to>
    <xdr:sp macro="" textlink="">
      <xdr:nvSpPr>
        <xdr:cNvPr id="35" name="مستطيل مستدير الزوايا 34">
          <a:hlinkClick xmlns:r="http://schemas.openxmlformats.org/officeDocument/2006/relationships" r:id="rId17" tooltip="الخطط الدراسية"/>
          <a:extLst>
            <a:ext uri="{FF2B5EF4-FFF2-40B4-BE49-F238E27FC236}">
              <a16:creationId xmlns:a16="http://schemas.microsoft.com/office/drawing/2014/main" id="{00000000-0008-0000-0200-000023000000}"/>
            </a:ext>
          </a:extLst>
        </xdr:cNvPr>
        <xdr:cNvSpPr/>
      </xdr:nvSpPr>
      <xdr:spPr>
        <a:xfrm>
          <a:off x="11216424100" y="8026399"/>
          <a:ext cx="2435226" cy="609601"/>
        </a:xfrm>
        <a:prstGeom prst="roundRect">
          <a:avLst/>
        </a:prstGeom>
        <a:solidFill>
          <a:srgbClr val="FFFF00"/>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800" b="1" cap="none" spc="0">
              <a:ln w="1905"/>
              <a:solidFill>
                <a:schemeClr val="tx2">
                  <a:lumMod val="75000"/>
                </a:schemeClr>
              </a:solidFill>
              <a:effectLst>
                <a:innerShdw blurRad="69850" dist="43180" dir="5400000">
                  <a:srgbClr val="000000">
                    <a:alpha val="65000"/>
                  </a:srgbClr>
                </a:innerShdw>
              </a:effectLst>
              <a:latin typeface="Simplified Arabic" pitchFamily="18" charset="-78"/>
              <a:ea typeface="+mn-ea"/>
              <a:cs typeface="Simplified Arabic" pitchFamily="18" charset="-78"/>
            </a:rPr>
            <a:t>العهدة المالية </a:t>
          </a:r>
        </a:p>
      </xdr:txBody>
    </xdr:sp>
    <xdr:clientData/>
  </xdr:twoCellAnchor>
  <xdr:twoCellAnchor>
    <xdr:from>
      <xdr:col>13</xdr:col>
      <xdr:colOff>647700</xdr:colOff>
      <xdr:row>2</xdr:row>
      <xdr:rowOff>127000</xdr:rowOff>
    </xdr:from>
    <xdr:to>
      <xdr:col>16</xdr:col>
      <xdr:colOff>546099</xdr:colOff>
      <xdr:row>7</xdr:row>
      <xdr:rowOff>38100</xdr:rowOff>
    </xdr:to>
    <xdr:sp macro="" textlink="">
      <xdr:nvSpPr>
        <xdr:cNvPr id="31" name="مستطيل مستدير الزوايا 30">
          <a:extLst>
            <a:ext uri="{FF2B5EF4-FFF2-40B4-BE49-F238E27FC236}">
              <a16:creationId xmlns:a16="http://schemas.microsoft.com/office/drawing/2014/main" id="{217ED838-63B0-7E45-97B4-11EA9040589F}"/>
            </a:ext>
          </a:extLst>
        </xdr:cNvPr>
        <xdr:cNvSpPr/>
      </xdr:nvSpPr>
      <xdr:spPr>
        <a:xfrm>
          <a:off x="11224628301" y="495300"/>
          <a:ext cx="1955799" cy="812800"/>
        </a:xfrm>
        <a:prstGeom prst="roundRect">
          <a:avLst/>
        </a:prstGeom>
        <a:solidFill>
          <a:srgbClr val="0070C0"/>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2400" b="1" cap="none" spc="0">
              <a:ln w="1905"/>
              <a:solidFill>
                <a:schemeClr val="bg1"/>
              </a:solidFill>
              <a:effectLst>
                <a:innerShdw blurRad="69850" dist="43180" dir="5400000">
                  <a:srgbClr val="000000">
                    <a:alpha val="65000"/>
                  </a:srgbClr>
                </a:innerShdw>
              </a:effectLst>
              <a:latin typeface="Simplified Arabic" pitchFamily="18" charset="-78"/>
              <a:ea typeface="+mn-ea"/>
              <a:cs typeface="Simplified Arabic" pitchFamily="18" charset="-78"/>
            </a:rPr>
            <a:t>مجمع</a:t>
          </a:r>
          <a:r>
            <a:rPr lang="ar-SA" sz="2400" b="1" cap="none" spc="0" baseline="0">
              <a:ln w="1905"/>
              <a:solidFill>
                <a:schemeClr val="bg1"/>
              </a:solidFill>
              <a:effectLst>
                <a:innerShdw blurRad="69850" dist="43180" dir="5400000">
                  <a:srgbClr val="000000">
                    <a:alpha val="65000"/>
                  </a:srgbClr>
                </a:innerShdw>
              </a:effectLst>
              <a:latin typeface="Simplified Arabic" pitchFamily="18" charset="-78"/>
              <a:ea typeface="+mn-ea"/>
              <a:cs typeface="Simplified Arabic" pitchFamily="18" charset="-78"/>
            </a:rPr>
            <a:t> دار القلم</a:t>
          </a:r>
          <a:endParaRPr lang="ar-SA" sz="2400" b="1" cap="none" spc="0">
            <a:ln w="1905"/>
            <a:solidFill>
              <a:schemeClr val="bg1"/>
            </a:solidFill>
            <a:effectLst>
              <a:innerShdw blurRad="69850" dist="43180" dir="5400000">
                <a:srgbClr val="000000">
                  <a:alpha val="65000"/>
                </a:srgbClr>
              </a:innerShdw>
            </a:effectLst>
            <a:latin typeface="Simplified Arabic" pitchFamily="18" charset="-78"/>
            <a:ea typeface="+mn-ea"/>
            <a:cs typeface="Simplified Arabic" pitchFamily="18" charset="-78"/>
          </a:endParaRPr>
        </a:p>
      </xdr:txBody>
    </xdr:sp>
    <xdr:clientData/>
  </xdr:twoCellAnchor>
  <xdr:twoCellAnchor>
    <xdr:from>
      <xdr:col>8</xdr:col>
      <xdr:colOff>355599</xdr:colOff>
      <xdr:row>36</xdr:row>
      <xdr:rowOff>63500</xdr:rowOff>
    </xdr:from>
    <xdr:to>
      <xdr:col>11</xdr:col>
      <xdr:colOff>381000</xdr:colOff>
      <xdr:row>39</xdr:row>
      <xdr:rowOff>104774</xdr:rowOff>
    </xdr:to>
    <xdr:sp macro="" textlink="">
      <xdr:nvSpPr>
        <xdr:cNvPr id="73" name="مستطيل مستدير الزوايا 72">
          <a:hlinkClick xmlns:r="http://schemas.openxmlformats.org/officeDocument/2006/relationships" r:id="rId18"/>
          <a:extLst>
            <a:ext uri="{FF2B5EF4-FFF2-40B4-BE49-F238E27FC236}">
              <a16:creationId xmlns:a16="http://schemas.microsoft.com/office/drawing/2014/main" id="{A75845B0-BB2D-8B46-A7A5-CF625739EDF2}"/>
            </a:ext>
          </a:extLst>
        </xdr:cNvPr>
        <xdr:cNvSpPr/>
      </xdr:nvSpPr>
      <xdr:spPr>
        <a:xfrm>
          <a:off x="11228222400" y="6489700"/>
          <a:ext cx="2082801" cy="574674"/>
        </a:xfrm>
        <a:prstGeom prst="roundRect">
          <a:avLst/>
        </a:prstGeom>
        <a:solidFill>
          <a:srgbClr val="65F52B"/>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cap="none" spc="0">
              <a:ln w="1905"/>
              <a:solidFill>
                <a:schemeClr val="tx1"/>
              </a:solidFill>
              <a:effectLst>
                <a:innerShdw blurRad="69850" dist="43180" dir="5400000">
                  <a:srgbClr val="000000">
                    <a:alpha val="65000"/>
                  </a:srgbClr>
                </a:innerShdw>
              </a:effectLst>
              <a:latin typeface="Simplified Arabic" pitchFamily="18" charset="-78"/>
              <a:ea typeface="+mn-ea"/>
              <a:cs typeface="Simplified Arabic" pitchFamily="18" charset="-78"/>
            </a:rPr>
            <a:t>المقاعد</a:t>
          </a:r>
          <a:r>
            <a:rPr lang="ar-SA" sz="1600" b="1" cap="none" spc="0" baseline="0">
              <a:ln w="1905"/>
              <a:solidFill>
                <a:schemeClr val="tx1"/>
              </a:solidFill>
              <a:effectLst>
                <a:innerShdw blurRad="69850" dist="43180" dir="5400000">
                  <a:srgbClr val="000000">
                    <a:alpha val="65000"/>
                  </a:srgbClr>
                </a:innerShdw>
              </a:effectLst>
              <a:latin typeface="Simplified Arabic" pitchFamily="18" charset="-78"/>
              <a:ea typeface="+mn-ea"/>
              <a:cs typeface="Simplified Arabic" pitchFamily="18" charset="-78"/>
            </a:rPr>
            <a:t> الشاغرة</a:t>
          </a:r>
          <a:endParaRPr lang="ar-SA" sz="1600" b="1" cap="none" spc="0">
            <a:ln w="1905"/>
            <a:solidFill>
              <a:schemeClr val="tx1"/>
            </a:solidFill>
            <a:effectLst>
              <a:innerShdw blurRad="69850" dist="43180" dir="5400000">
                <a:srgbClr val="000000">
                  <a:alpha val="65000"/>
                </a:srgbClr>
              </a:innerShdw>
            </a:effectLst>
          </a:endParaRPr>
        </a:p>
      </xdr:txBody>
    </xdr:sp>
    <xdr:clientData/>
  </xdr:twoCellAnchor>
  <xdr:twoCellAnchor>
    <xdr:from>
      <xdr:col>17</xdr:col>
      <xdr:colOff>495300</xdr:colOff>
      <xdr:row>43</xdr:row>
      <xdr:rowOff>76200</xdr:rowOff>
    </xdr:from>
    <xdr:to>
      <xdr:col>20</xdr:col>
      <xdr:colOff>571500</xdr:colOff>
      <xdr:row>46</xdr:row>
      <xdr:rowOff>25400</xdr:rowOff>
    </xdr:to>
    <xdr:sp macro="" textlink="">
      <xdr:nvSpPr>
        <xdr:cNvPr id="75" name="مستطيل مستدير الزوايا 74">
          <a:extLst>
            <a:ext uri="{FF2B5EF4-FFF2-40B4-BE49-F238E27FC236}">
              <a16:creationId xmlns:a16="http://schemas.microsoft.com/office/drawing/2014/main" id="{DB864283-3997-A74B-9195-193A3B0AAF7C}"/>
            </a:ext>
          </a:extLst>
        </xdr:cNvPr>
        <xdr:cNvSpPr/>
      </xdr:nvSpPr>
      <xdr:spPr>
        <a:xfrm>
          <a:off x="11221859700" y="7594600"/>
          <a:ext cx="2133600" cy="482600"/>
        </a:xfrm>
        <a:prstGeom prst="roundRect">
          <a:avLst/>
        </a:prstGeom>
        <a:solidFill>
          <a:srgbClr val="0070C0"/>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800" b="1" cap="none" spc="0">
              <a:ln w="1905"/>
              <a:solidFill>
                <a:schemeClr val="bg1"/>
              </a:solidFill>
              <a:effectLst>
                <a:innerShdw blurRad="69850" dist="43180" dir="5400000">
                  <a:srgbClr val="000000">
                    <a:alpha val="65000"/>
                  </a:srgbClr>
                </a:innerShdw>
              </a:effectLst>
              <a:latin typeface="Simplified Arabic" pitchFamily="18" charset="-78"/>
              <a:ea typeface="+mn-ea"/>
              <a:cs typeface="Simplified Arabic" pitchFamily="18" charset="-78"/>
            </a:rPr>
            <a:t>بيانات</a:t>
          </a:r>
          <a:r>
            <a:rPr lang="ar-SA" sz="1800" b="1" cap="none" spc="0" baseline="0">
              <a:ln w="1905"/>
              <a:solidFill>
                <a:schemeClr val="bg1"/>
              </a:solidFill>
              <a:effectLst>
                <a:innerShdw blurRad="69850" dist="43180" dir="5400000">
                  <a:srgbClr val="000000">
                    <a:alpha val="65000"/>
                  </a:srgbClr>
                </a:innerShdw>
              </a:effectLst>
              <a:latin typeface="Simplified Arabic" pitchFamily="18" charset="-78"/>
              <a:ea typeface="+mn-ea"/>
              <a:cs typeface="Simplified Arabic" pitchFamily="18" charset="-78"/>
            </a:rPr>
            <a:t> المرافق</a:t>
          </a:r>
          <a:endParaRPr lang="ar-SA" sz="1800" b="1" cap="none" spc="0">
            <a:ln w="1905"/>
            <a:solidFill>
              <a:schemeClr val="bg1"/>
            </a:solidFill>
            <a:effectLst>
              <a:innerShdw blurRad="69850" dist="43180" dir="5400000">
                <a:srgbClr val="000000">
                  <a:alpha val="65000"/>
                </a:srgbClr>
              </a:innerShdw>
            </a:effectLst>
            <a:latin typeface="Simplified Arabic" pitchFamily="18" charset="-78"/>
            <a:ea typeface="+mn-ea"/>
            <a:cs typeface="Simplified Arabic" pitchFamily="18" charset="-78"/>
          </a:endParaRPr>
        </a:p>
      </xdr:txBody>
    </xdr:sp>
    <xdr:clientData/>
  </xdr:twoCellAnchor>
  <xdr:twoCellAnchor>
    <xdr:from>
      <xdr:col>8</xdr:col>
      <xdr:colOff>241300</xdr:colOff>
      <xdr:row>43</xdr:row>
      <xdr:rowOff>38100</xdr:rowOff>
    </xdr:from>
    <xdr:to>
      <xdr:col>11</xdr:col>
      <xdr:colOff>419100</xdr:colOff>
      <xdr:row>45</xdr:row>
      <xdr:rowOff>165100</xdr:rowOff>
    </xdr:to>
    <xdr:sp macro="" textlink="">
      <xdr:nvSpPr>
        <xdr:cNvPr id="77" name="مستطيل مستدير الزوايا 76">
          <a:extLst>
            <a:ext uri="{FF2B5EF4-FFF2-40B4-BE49-F238E27FC236}">
              <a16:creationId xmlns:a16="http://schemas.microsoft.com/office/drawing/2014/main" id="{290B2E6A-59E6-2743-80DB-45F14DC9C528}"/>
            </a:ext>
          </a:extLst>
        </xdr:cNvPr>
        <xdr:cNvSpPr/>
      </xdr:nvSpPr>
      <xdr:spPr>
        <a:xfrm>
          <a:off x="11228184300" y="7556500"/>
          <a:ext cx="2235200" cy="482600"/>
        </a:xfrm>
        <a:prstGeom prst="roundRect">
          <a:avLst/>
        </a:prstGeom>
        <a:solidFill>
          <a:srgbClr val="0070C0"/>
        </a:solidFill>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800" b="1" cap="none" spc="0">
              <a:ln w="1905"/>
              <a:solidFill>
                <a:schemeClr val="bg1"/>
              </a:solidFill>
              <a:effectLst>
                <a:innerShdw blurRad="69850" dist="43180" dir="5400000">
                  <a:srgbClr val="000000">
                    <a:alpha val="65000"/>
                  </a:srgbClr>
                </a:innerShdw>
              </a:effectLst>
              <a:latin typeface="Simplified Arabic" pitchFamily="18" charset="-78"/>
              <a:ea typeface="+mn-ea"/>
              <a:cs typeface="Simplified Arabic" pitchFamily="18" charset="-78"/>
            </a:rPr>
            <a:t>النشاط</a:t>
          </a:r>
        </a:p>
      </xdr:txBody>
    </xdr:sp>
    <xdr:clientData/>
  </xdr:twoCellAnchor>
  <xdr:twoCellAnchor>
    <xdr:from>
      <xdr:col>1</xdr:col>
      <xdr:colOff>571500</xdr:colOff>
      <xdr:row>10</xdr:row>
      <xdr:rowOff>139700</xdr:rowOff>
    </xdr:from>
    <xdr:to>
      <xdr:col>4</xdr:col>
      <xdr:colOff>500459</xdr:colOff>
      <xdr:row>14</xdr:row>
      <xdr:rowOff>69850</xdr:rowOff>
    </xdr:to>
    <xdr:sp macro="" textlink="">
      <xdr:nvSpPr>
        <xdr:cNvPr id="2" name="مستطيل مستدير الزوايا 1">
          <a:hlinkClick xmlns:r="http://schemas.openxmlformats.org/officeDocument/2006/relationships" r:id="rId19"/>
          <a:extLst>
            <a:ext uri="{FF2B5EF4-FFF2-40B4-BE49-F238E27FC236}">
              <a16:creationId xmlns:a16="http://schemas.microsoft.com/office/drawing/2014/main" id="{06E67E0B-9B73-284E-BAEC-F4A13CCA03CA}"/>
            </a:ext>
          </a:extLst>
        </xdr:cNvPr>
        <xdr:cNvSpPr/>
      </xdr:nvSpPr>
      <xdr:spPr>
        <a:xfrm>
          <a:off x="11232903541" y="1943100"/>
          <a:ext cx="1986359" cy="641350"/>
        </a:xfrm>
        <a:prstGeom prst="roundRect">
          <a:avLst/>
        </a:prstGeom>
        <a:solidFill>
          <a:schemeClr val="bg1"/>
        </a:solidFill>
        <a:ln>
          <a:solidFill>
            <a:schemeClr val="tx2"/>
          </a:solid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marL="0" indent="0" algn="ctr" rtl="1"/>
          <a:r>
            <a:rPr lang="ar-SA" sz="1800" b="1" cap="none" spc="0">
              <a:ln w="10541" cmpd="sng">
                <a:solidFill>
                  <a:schemeClr val="accent1">
                    <a:shade val="88000"/>
                    <a:satMod val="110000"/>
                  </a:schemeClr>
                </a:solidFill>
                <a:prstDash val="solid"/>
              </a:ln>
              <a:solidFill>
                <a:schemeClr val="tx1"/>
              </a:solidFill>
              <a:effectLst/>
              <a:latin typeface="Simplified Arabic" pitchFamily="18" charset="-78"/>
              <a:ea typeface="+mn-ea"/>
              <a:cs typeface="Simplified Arabic" pitchFamily="18" charset="-78"/>
            </a:rPr>
            <a:t>ادارة المجمع</a:t>
          </a:r>
        </a:p>
      </xdr:txBody>
    </xdr:sp>
    <xdr:clientData/>
  </xdr:twoCellAnchor>
  <xdr:twoCellAnchor>
    <xdr:from>
      <xdr:col>6</xdr:col>
      <xdr:colOff>101600</xdr:colOff>
      <xdr:row>11</xdr:row>
      <xdr:rowOff>12700</xdr:rowOff>
    </xdr:from>
    <xdr:to>
      <xdr:col>9</xdr:col>
      <xdr:colOff>314325</xdr:colOff>
      <xdr:row>14</xdr:row>
      <xdr:rowOff>126999</xdr:rowOff>
    </xdr:to>
    <xdr:sp macro="" textlink="">
      <xdr:nvSpPr>
        <xdr:cNvPr id="4" name="مستطيل مستدير الزوايا 3">
          <a:hlinkClick xmlns:r="http://schemas.openxmlformats.org/officeDocument/2006/relationships" r:id="rId20"/>
          <a:extLst>
            <a:ext uri="{FF2B5EF4-FFF2-40B4-BE49-F238E27FC236}">
              <a16:creationId xmlns:a16="http://schemas.microsoft.com/office/drawing/2014/main" id="{DB7743CA-EBD1-F043-9F08-0F2A46A3761D}"/>
            </a:ext>
          </a:extLst>
        </xdr:cNvPr>
        <xdr:cNvSpPr/>
      </xdr:nvSpPr>
      <xdr:spPr>
        <a:xfrm>
          <a:off x="11229660675" y="1993900"/>
          <a:ext cx="2270125" cy="647699"/>
        </a:xfrm>
        <a:prstGeom prst="roundRect">
          <a:avLst/>
        </a:prstGeom>
        <a:solidFill>
          <a:srgbClr val="FFFF00"/>
        </a:solidFill>
        <a:ln>
          <a:solidFill>
            <a:schemeClr val="tx2"/>
          </a:solidFill>
        </a:ln>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marL="0" indent="0" algn="ctr" rtl="1"/>
          <a:r>
            <a:rPr lang="ar-SA" sz="1800" b="1" cap="none" spc="0">
              <a:ln w="10541" cmpd="sng">
                <a:solidFill>
                  <a:schemeClr val="accent1">
                    <a:shade val="88000"/>
                    <a:satMod val="110000"/>
                  </a:schemeClr>
                </a:solidFill>
                <a:prstDash val="solid"/>
              </a:ln>
              <a:solidFill>
                <a:schemeClr val="tx1"/>
              </a:solidFill>
              <a:effectLst/>
              <a:latin typeface="Simplified Arabic" pitchFamily="18" charset="-78"/>
              <a:ea typeface="+mn-ea"/>
              <a:cs typeface="Simplified Arabic" pitchFamily="18" charset="-78"/>
            </a:rPr>
            <a:t>مقارنة</a:t>
          </a:r>
          <a:r>
            <a:rPr lang="ar-SA" sz="1800" b="1" cap="none" spc="0" baseline="0">
              <a:ln w="10541" cmpd="sng">
                <a:solidFill>
                  <a:schemeClr val="accent1">
                    <a:shade val="88000"/>
                    <a:satMod val="110000"/>
                  </a:schemeClr>
                </a:solidFill>
                <a:prstDash val="solid"/>
              </a:ln>
              <a:solidFill>
                <a:schemeClr val="tx1"/>
              </a:solidFill>
              <a:effectLst/>
              <a:latin typeface="Simplified Arabic" pitchFamily="18" charset="-78"/>
              <a:ea typeface="+mn-ea"/>
              <a:cs typeface="Simplified Arabic" pitchFamily="18" charset="-78"/>
            </a:rPr>
            <a:t> النمو</a:t>
          </a:r>
          <a:endParaRPr lang="ar-SA" sz="1800" b="1" cap="none" spc="0">
            <a:ln w="10541" cmpd="sng">
              <a:solidFill>
                <a:schemeClr val="accent1">
                  <a:shade val="88000"/>
                  <a:satMod val="110000"/>
                </a:schemeClr>
              </a:solidFill>
              <a:prstDash val="solid"/>
            </a:ln>
            <a:solidFill>
              <a:schemeClr val="tx1"/>
            </a:solidFill>
            <a:effectLst/>
            <a:latin typeface="Simplified Arabic" pitchFamily="18" charset="-78"/>
            <a:ea typeface="+mn-ea"/>
            <a:cs typeface="Simplified Arabic"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338859</xdr:colOff>
      <xdr:row>0</xdr:row>
      <xdr:rowOff>184727</xdr:rowOff>
    </xdr:from>
    <xdr:to>
      <xdr:col>8</xdr:col>
      <xdr:colOff>428047</xdr:colOff>
      <xdr:row>0</xdr:row>
      <xdr:rowOff>603827</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00000-0008-0000-0300-000002000000}"/>
            </a:ext>
          </a:extLst>
        </xdr:cNvPr>
        <xdr:cNvSpPr/>
      </xdr:nvSpPr>
      <xdr:spPr>
        <a:xfrm>
          <a:off x="10889909698" y="184727"/>
          <a:ext cx="1419225" cy="419100"/>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523873</xdr:colOff>
      <xdr:row>0</xdr:row>
      <xdr:rowOff>34926</xdr:rowOff>
    </xdr:from>
    <xdr:to>
      <xdr:col>13</xdr:col>
      <xdr:colOff>609598</xdr:colOff>
      <xdr:row>0</xdr:row>
      <xdr:rowOff>454026</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00000-0008-0000-0600-000002000000}"/>
            </a:ext>
          </a:extLst>
        </xdr:cNvPr>
        <xdr:cNvSpPr/>
      </xdr:nvSpPr>
      <xdr:spPr>
        <a:xfrm>
          <a:off x="11018710502" y="34926"/>
          <a:ext cx="1533525" cy="419100"/>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895349</xdr:colOff>
      <xdr:row>1</xdr:row>
      <xdr:rowOff>152400</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00000-0008-0000-0700-000002000000}"/>
            </a:ext>
          </a:extLst>
        </xdr:cNvPr>
        <xdr:cNvSpPr/>
      </xdr:nvSpPr>
      <xdr:spPr>
        <a:xfrm>
          <a:off x="11243090926" y="0"/>
          <a:ext cx="1323974" cy="333375"/>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200" b="1">
              <a:latin typeface="Simplified Arabic" pitchFamily="18" charset="-78"/>
              <a:cs typeface="Simplified Arabic" pitchFamily="18" charset="-78"/>
            </a:rPr>
            <a:t>الصفحة الرئيسية</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xdr:colOff>
      <xdr:row>0</xdr:row>
      <xdr:rowOff>0</xdr:rowOff>
    </xdr:from>
    <xdr:to>
      <xdr:col>2</xdr:col>
      <xdr:colOff>895350</xdr:colOff>
      <xdr:row>1</xdr:row>
      <xdr:rowOff>152400</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00000-0008-0000-0800-000002000000}"/>
            </a:ext>
          </a:extLst>
        </xdr:cNvPr>
        <xdr:cNvSpPr/>
      </xdr:nvSpPr>
      <xdr:spPr>
        <a:xfrm>
          <a:off x="11240623950" y="0"/>
          <a:ext cx="1323974" cy="333375"/>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200" b="1">
              <a:latin typeface="Simplified Arabic" pitchFamily="18" charset="-78"/>
              <a:cs typeface="Simplified Arabic" pitchFamily="18" charset="-78"/>
            </a:rPr>
            <a:t>الصفحة الرئيسية</a:t>
          </a:r>
        </a:p>
      </xdr:txBody>
    </xdr:sp>
    <xdr:clientData/>
  </xdr:twoCellAnchor>
  <xdr:twoCellAnchor>
    <xdr:from>
      <xdr:col>1</xdr:col>
      <xdr:colOff>1</xdr:colOff>
      <xdr:row>0</xdr:row>
      <xdr:rowOff>0</xdr:rowOff>
    </xdr:from>
    <xdr:to>
      <xdr:col>2</xdr:col>
      <xdr:colOff>895350</xdr:colOff>
      <xdr:row>1</xdr:row>
      <xdr:rowOff>152400</xdr:rowOff>
    </xdr:to>
    <xdr:sp macro="" textlink="">
      <xdr:nvSpPr>
        <xdr:cNvPr id="3" name="مستطيل مستدير الزوايا 2">
          <a:hlinkClick xmlns:r="http://schemas.openxmlformats.org/officeDocument/2006/relationships" r:id="rId1" tooltip="الصفحة الرئيسية"/>
          <a:extLst>
            <a:ext uri="{FF2B5EF4-FFF2-40B4-BE49-F238E27FC236}">
              <a16:creationId xmlns:a16="http://schemas.microsoft.com/office/drawing/2014/main" id="{CF8C517D-56E8-2244-ADFA-ED320BF5478A}"/>
            </a:ext>
          </a:extLst>
        </xdr:cNvPr>
        <xdr:cNvSpPr/>
      </xdr:nvSpPr>
      <xdr:spPr>
        <a:xfrm>
          <a:off x="11036065050" y="0"/>
          <a:ext cx="1390649" cy="330200"/>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200" b="1">
              <a:latin typeface="Simplified Arabic" pitchFamily="18" charset="-78"/>
              <a:cs typeface="Simplified Arabic" pitchFamily="18" charset="-78"/>
            </a:rPr>
            <a:t>الصفحة الرئيسية</a:t>
          </a:r>
        </a:p>
      </xdr:txBody>
    </xdr:sp>
    <xdr:clientData/>
  </xdr:twoCellAnchor>
  <xdr:twoCellAnchor>
    <xdr:from>
      <xdr:col>1</xdr:col>
      <xdr:colOff>1</xdr:colOff>
      <xdr:row>0</xdr:row>
      <xdr:rowOff>0</xdr:rowOff>
    </xdr:from>
    <xdr:to>
      <xdr:col>2</xdr:col>
      <xdr:colOff>895350</xdr:colOff>
      <xdr:row>1</xdr:row>
      <xdr:rowOff>152400</xdr:rowOff>
    </xdr:to>
    <xdr:sp macro="" textlink="">
      <xdr:nvSpPr>
        <xdr:cNvPr id="4" name="مستطيل مستدير الزوايا 3">
          <a:hlinkClick xmlns:r="http://schemas.openxmlformats.org/officeDocument/2006/relationships" r:id="rId1" tooltip="الصفحة الرئيسية"/>
          <a:extLst>
            <a:ext uri="{FF2B5EF4-FFF2-40B4-BE49-F238E27FC236}">
              <a16:creationId xmlns:a16="http://schemas.microsoft.com/office/drawing/2014/main" id="{A8DB840E-FEA2-ED4D-B03F-6DC654EE3B78}"/>
            </a:ext>
          </a:extLst>
        </xdr:cNvPr>
        <xdr:cNvSpPr/>
      </xdr:nvSpPr>
      <xdr:spPr>
        <a:xfrm>
          <a:off x="11036065050" y="0"/>
          <a:ext cx="1390649" cy="330200"/>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200" b="1">
              <a:latin typeface="Simplified Arabic" pitchFamily="18" charset="-78"/>
              <a:cs typeface="Simplified Arabic" pitchFamily="18" charset="-78"/>
            </a:rPr>
            <a:t>الصفحة الرئيسية</a:t>
          </a:r>
        </a:p>
      </xdr:txBody>
    </xdr:sp>
    <xdr:clientData/>
  </xdr:twoCellAnchor>
  <xdr:twoCellAnchor>
    <xdr:from>
      <xdr:col>1</xdr:col>
      <xdr:colOff>1</xdr:colOff>
      <xdr:row>0</xdr:row>
      <xdr:rowOff>0</xdr:rowOff>
    </xdr:from>
    <xdr:to>
      <xdr:col>2</xdr:col>
      <xdr:colOff>895350</xdr:colOff>
      <xdr:row>1</xdr:row>
      <xdr:rowOff>152400</xdr:rowOff>
    </xdr:to>
    <xdr:sp macro="" textlink="">
      <xdr:nvSpPr>
        <xdr:cNvPr id="5" name="مستطيل مستدير الزوايا 4">
          <a:hlinkClick xmlns:r="http://schemas.openxmlformats.org/officeDocument/2006/relationships" r:id="rId1" tooltip="الصفحة الرئيسية"/>
          <a:extLst>
            <a:ext uri="{FF2B5EF4-FFF2-40B4-BE49-F238E27FC236}">
              <a16:creationId xmlns:a16="http://schemas.microsoft.com/office/drawing/2014/main" id="{59CA1F49-22B6-B94D-AE0B-E8DDDF2DEF14}"/>
            </a:ext>
          </a:extLst>
        </xdr:cNvPr>
        <xdr:cNvSpPr/>
      </xdr:nvSpPr>
      <xdr:spPr>
        <a:xfrm>
          <a:off x="11034109250" y="0"/>
          <a:ext cx="1543049" cy="330200"/>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200" b="1">
              <a:latin typeface="Simplified Arabic" pitchFamily="18" charset="-78"/>
              <a:cs typeface="Simplified Arabic" pitchFamily="18" charset="-78"/>
            </a:rPr>
            <a:t>الصفحة الرئيسية</a:t>
          </a:r>
        </a:p>
      </xdr:txBody>
    </xdr:sp>
    <xdr:clientData/>
  </xdr:twoCellAnchor>
  <xdr:twoCellAnchor>
    <xdr:from>
      <xdr:col>1</xdr:col>
      <xdr:colOff>1</xdr:colOff>
      <xdr:row>0</xdr:row>
      <xdr:rowOff>0</xdr:rowOff>
    </xdr:from>
    <xdr:to>
      <xdr:col>2</xdr:col>
      <xdr:colOff>895350</xdr:colOff>
      <xdr:row>1</xdr:row>
      <xdr:rowOff>152400</xdr:rowOff>
    </xdr:to>
    <xdr:sp macro="" textlink="">
      <xdr:nvSpPr>
        <xdr:cNvPr id="6" name="مستطيل مستدير الزوايا 5">
          <a:hlinkClick xmlns:r="http://schemas.openxmlformats.org/officeDocument/2006/relationships" r:id="rId1" tooltip="الصفحة الرئيسية"/>
          <a:extLst>
            <a:ext uri="{FF2B5EF4-FFF2-40B4-BE49-F238E27FC236}">
              <a16:creationId xmlns:a16="http://schemas.microsoft.com/office/drawing/2014/main" id="{F6A4527C-A03E-8D43-91F0-0271B7B0DC3E}"/>
            </a:ext>
          </a:extLst>
        </xdr:cNvPr>
        <xdr:cNvSpPr/>
      </xdr:nvSpPr>
      <xdr:spPr>
        <a:xfrm>
          <a:off x="11034109250" y="0"/>
          <a:ext cx="1543049" cy="330200"/>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200" b="1">
              <a:latin typeface="Simplified Arabic" pitchFamily="18" charset="-78"/>
              <a:cs typeface="Simplified Arabic" pitchFamily="18" charset="-78"/>
            </a:rPr>
            <a:t>الصفحة الرئيسية</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658584</xdr:colOff>
      <xdr:row>0</xdr:row>
      <xdr:rowOff>0</xdr:rowOff>
    </xdr:from>
    <xdr:to>
      <xdr:col>11</xdr:col>
      <xdr:colOff>957942</xdr:colOff>
      <xdr:row>0</xdr:row>
      <xdr:rowOff>484414</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4904EB59-361E-164C-8A22-6FDC9CE7B286}"/>
            </a:ext>
          </a:extLst>
        </xdr:cNvPr>
        <xdr:cNvSpPr/>
      </xdr:nvSpPr>
      <xdr:spPr>
        <a:xfrm>
          <a:off x="11020190958" y="0"/>
          <a:ext cx="1493158" cy="484414"/>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658584</xdr:colOff>
      <xdr:row>0</xdr:row>
      <xdr:rowOff>0</xdr:rowOff>
    </xdr:from>
    <xdr:to>
      <xdr:col>11</xdr:col>
      <xdr:colOff>957942</xdr:colOff>
      <xdr:row>0</xdr:row>
      <xdr:rowOff>484414</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850E822B-FB27-A748-B534-30B0FE5EE014}"/>
            </a:ext>
          </a:extLst>
        </xdr:cNvPr>
        <xdr:cNvSpPr/>
      </xdr:nvSpPr>
      <xdr:spPr>
        <a:xfrm>
          <a:off x="11020190958" y="0"/>
          <a:ext cx="1493158" cy="484414"/>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658584</xdr:colOff>
      <xdr:row>0</xdr:row>
      <xdr:rowOff>0</xdr:rowOff>
    </xdr:from>
    <xdr:to>
      <xdr:col>11</xdr:col>
      <xdr:colOff>957942</xdr:colOff>
      <xdr:row>0</xdr:row>
      <xdr:rowOff>484414</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EBD6A-4A01-6649-BBF6-38410FF62ACD}"/>
            </a:ext>
          </a:extLst>
        </xdr:cNvPr>
        <xdr:cNvSpPr/>
      </xdr:nvSpPr>
      <xdr:spPr>
        <a:xfrm>
          <a:off x="11020190958" y="0"/>
          <a:ext cx="2331358" cy="484414"/>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twoCellAnchor>
    <xdr:from>
      <xdr:col>10</xdr:col>
      <xdr:colOff>658584</xdr:colOff>
      <xdr:row>0</xdr:row>
      <xdr:rowOff>0</xdr:rowOff>
    </xdr:from>
    <xdr:to>
      <xdr:col>11</xdr:col>
      <xdr:colOff>957942</xdr:colOff>
      <xdr:row>0</xdr:row>
      <xdr:rowOff>484414</xdr:rowOff>
    </xdr:to>
    <xdr:sp macro="" textlink="">
      <xdr:nvSpPr>
        <xdr:cNvPr id="3" name="مستطيل مستدير الزوايا 2">
          <a:hlinkClick xmlns:r="http://schemas.openxmlformats.org/officeDocument/2006/relationships" r:id="rId1" tooltip="الصفحة الرئيسية"/>
          <a:extLst>
            <a:ext uri="{FF2B5EF4-FFF2-40B4-BE49-F238E27FC236}">
              <a16:creationId xmlns:a16="http://schemas.microsoft.com/office/drawing/2014/main" id="{2F38975A-48AF-7C45-9CC1-CD0DD2ECA4DF}"/>
            </a:ext>
          </a:extLst>
        </xdr:cNvPr>
        <xdr:cNvSpPr/>
      </xdr:nvSpPr>
      <xdr:spPr>
        <a:xfrm>
          <a:off x="11020190958" y="0"/>
          <a:ext cx="2331358" cy="484414"/>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23</xdr:col>
      <xdr:colOff>469900</xdr:colOff>
      <xdr:row>13</xdr:row>
      <xdr:rowOff>457200</xdr:rowOff>
    </xdr:from>
    <xdr:to>
      <xdr:col>26</xdr:col>
      <xdr:colOff>223158</xdr:colOff>
      <xdr:row>14</xdr:row>
      <xdr:rowOff>330200</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9CC5B182-E197-4048-871F-19B31A8C05AB}"/>
            </a:ext>
          </a:extLst>
        </xdr:cNvPr>
        <xdr:cNvSpPr/>
      </xdr:nvSpPr>
      <xdr:spPr>
        <a:xfrm>
          <a:off x="13503305842" y="7759700"/>
          <a:ext cx="2229758" cy="444500"/>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twoCellAnchor>
    <xdr:from>
      <xdr:col>14</xdr:col>
      <xdr:colOff>127000</xdr:colOff>
      <xdr:row>0</xdr:row>
      <xdr:rowOff>0</xdr:rowOff>
    </xdr:from>
    <xdr:to>
      <xdr:col>16</xdr:col>
      <xdr:colOff>807358</xdr:colOff>
      <xdr:row>1</xdr:row>
      <xdr:rowOff>39914</xdr:rowOff>
    </xdr:to>
    <xdr:sp macro="" textlink="">
      <xdr:nvSpPr>
        <xdr:cNvPr id="3" name="مستطيل مستدير الزوايا 2">
          <a:hlinkClick xmlns:r="http://schemas.openxmlformats.org/officeDocument/2006/relationships" r:id="rId1" tooltip="الصفحة الرئيسية"/>
          <a:extLst>
            <a:ext uri="{FF2B5EF4-FFF2-40B4-BE49-F238E27FC236}">
              <a16:creationId xmlns:a16="http://schemas.microsoft.com/office/drawing/2014/main" id="{F299BBB3-B22A-E54E-96D4-DAE968846B36}"/>
            </a:ext>
          </a:extLst>
        </xdr:cNvPr>
        <xdr:cNvSpPr/>
      </xdr:nvSpPr>
      <xdr:spPr>
        <a:xfrm>
          <a:off x="13510976642" y="0"/>
          <a:ext cx="2331358" cy="484414"/>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114300</xdr:colOff>
      <xdr:row>0</xdr:row>
      <xdr:rowOff>50800</xdr:rowOff>
    </xdr:from>
    <xdr:to>
      <xdr:col>9</xdr:col>
      <xdr:colOff>794658</xdr:colOff>
      <xdr:row>0</xdr:row>
      <xdr:rowOff>535214</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2F40B838-A211-A743-AE8C-E9FBE0F86608}"/>
            </a:ext>
          </a:extLst>
        </xdr:cNvPr>
        <xdr:cNvSpPr/>
      </xdr:nvSpPr>
      <xdr:spPr>
        <a:xfrm>
          <a:off x="13516767842" y="50800"/>
          <a:ext cx="2331358" cy="484414"/>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800100</xdr:colOff>
      <xdr:row>0</xdr:row>
      <xdr:rowOff>38100</xdr:rowOff>
    </xdr:from>
    <xdr:to>
      <xdr:col>10</xdr:col>
      <xdr:colOff>946150</xdr:colOff>
      <xdr:row>0</xdr:row>
      <xdr:rowOff>495300</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1BEDC5A2-E866-C448-BBCA-EE7333F6AACE}"/>
            </a:ext>
          </a:extLst>
        </xdr:cNvPr>
        <xdr:cNvSpPr/>
      </xdr:nvSpPr>
      <xdr:spPr>
        <a:xfrm>
          <a:off x="13515968650" y="38100"/>
          <a:ext cx="1797050" cy="457200"/>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1676400</xdr:colOff>
      <xdr:row>0</xdr:row>
      <xdr:rowOff>0</xdr:rowOff>
    </xdr:from>
    <xdr:to>
      <xdr:col>3</xdr:col>
      <xdr:colOff>1651000</xdr:colOff>
      <xdr:row>0</xdr:row>
      <xdr:rowOff>484414</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126285EA-4BB2-494D-93E0-359729DCA508}"/>
            </a:ext>
          </a:extLst>
        </xdr:cNvPr>
        <xdr:cNvSpPr/>
      </xdr:nvSpPr>
      <xdr:spPr>
        <a:xfrm>
          <a:off x="16635387100" y="0"/>
          <a:ext cx="1663700" cy="484414"/>
        </a:xfrm>
        <a:prstGeom prst="roundRect">
          <a:avLst>
            <a:gd name="adj" fmla="val 15080"/>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7642224</xdr:colOff>
      <xdr:row>1</xdr:row>
      <xdr:rowOff>38102</xdr:rowOff>
    </xdr:from>
    <xdr:to>
      <xdr:col>3</xdr:col>
      <xdr:colOff>9032874</xdr:colOff>
      <xdr:row>1</xdr:row>
      <xdr:rowOff>320676</xdr:rowOff>
    </xdr:to>
    <xdr:sp macro="" textlink="">
      <xdr:nvSpPr>
        <xdr:cNvPr id="4" name="مستطيل مستدير الزوايا 3">
          <a:hlinkClick xmlns:r="http://schemas.openxmlformats.org/officeDocument/2006/relationships" r:id="rId1" tooltip="الصفحة الرئيسية"/>
          <a:extLst>
            <a:ext uri="{FF2B5EF4-FFF2-40B4-BE49-F238E27FC236}">
              <a16:creationId xmlns:a16="http://schemas.microsoft.com/office/drawing/2014/main" id="{C71AF08F-E584-1C4D-874F-1A5A2A4463DA}"/>
            </a:ext>
          </a:extLst>
        </xdr:cNvPr>
        <xdr:cNvSpPr/>
      </xdr:nvSpPr>
      <xdr:spPr>
        <a:xfrm>
          <a:off x="10985753366" y="353062"/>
          <a:ext cx="1390650" cy="282574"/>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twoCellAnchor>
    <xdr:from>
      <xdr:col>3</xdr:col>
      <xdr:colOff>7417506</xdr:colOff>
      <xdr:row>24</xdr:row>
      <xdr:rowOff>42333</xdr:rowOff>
    </xdr:from>
    <xdr:to>
      <xdr:col>4</xdr:col>
      <xdr:colOff>505883</xdr:colOff>
      <xdr:row>24</xdr:row>
      <xdr:rowOff>578555</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E3E9C68C-50E5-A742-85C3-8E731330953E}"/>
            </a:ext>
          </a:extLst>
        </xdr:cNvPr>
        <xdr:cNvSpPr/>
      </xdr:nvSpPr>
      <xdr:spPr>
        <a:xfrm>
          <a:off x="11026383417" y="42333"/>
          <a:ext cx="2460977" cy="536222"/>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twoCellAnchor>
    <xdr:from>
      <xdr:col>3</xdr:col>
      <xdr:colOff>7097889</xdr:colOff>
      <xdr:row>43</xdr:row>
      <xdr:rowOff>70555</xdr:rowOff>
    </xdr:from>
    <xdr:to>
      <xdr:col>4</xdr:col>
      <xdr:colOff>830438</xdr:colOff>
      <xdr:row>43</xdr:row>
      <xdr:rowOff>606778</xdr:rowOff>
    </xdr:to>
    <xdr:sp macro="" textlink="">
      <xdr:nvSpPr>
        <xdr:cNvPr id="3" name="مستطيل مستدير الزوايا 2">
          <a:hlinkClick xmlns:r="http://schemas.openxmlformats.org/officeDocument/2006/relationships" r:id="rId1" tooltip="الصفحة الرئيسية"/>
          <a:extLst>
            <a:ext uri="{FF2B5EF4-FFF2-40B4-BE49-F238E27FC236}">
              <a16:creationId xmlns:a16="http://schemas.microsoft.com/office/drawing/2014/main" id="{51B823CB-D3D7-B745-B036-320AB9767887}"/>
            </a:ext>
          </a:extLst>
        </xdr:cNvPr>
        <xdr:cNvSpPr/>
      </xdr:nvSpPr>
      <xdr:spPr>
        <a:xfrm>
          <a:off x="11026541462" y="388055"/>
          <a:ext cx="3270249" cy="536223"/>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14763750</xdr:colOff>
      <xdr:row>0</xdr:row>
      <xdr:rowOff>79375</xdr:rowOff>
    </xdr:from>
    <xdr:to>
      <xdr:col>4</xdr:col>
      <xdr:colOff>1135062</xdr:colOff>
      <xdr:row>0</xdr:row>
      <xdr:rowOff>682625</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00000-0008-0000-1600-000002000000}"/>
            </a:ext>
          </a:extLst>
        </xdr:cNvPr>
        <xdr:cNvSpPr/>
      </xdr:nvSpPr>
      <xdr:spPr>
        <a:xfrm>
          <a:off x="10920928438" y="79375"/>
          <a:ext cx="1706562" cy="603250"/>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904875</xdr:colOff>
      <xdr:row>0</xdr:row>
      <xdr:rowOff>63500</xdr:rowOff>
    </xdr:from>
    <xdr:to>
      <xdr:col>5</xdr:col>
      <xdr:colOff>2362200</xdr:colOff>
      <xdr:row>0</xdr:row>
      <xdr:rowOff>444500</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00000-0008-0000-1700-000002000000}"/>
            </a:ext>
          </a:extLst>
        </xdr:cNvPr>
        <xdr:cNvSpPr/>
      </xdr:nvSpPr>
      <xdr:spPr>
        <a:xfrm>
          <a:off x="11025136700" y="63500"/>
          <a:ext cx="1457325" cy="381000"/>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520700</xdr:colOff>
      <xdr:row>0</xdr:row>
      <xdr:rowOff>12700</xdr:rowOff>
    </xdr:from>
    <xdr:to>
      <xdr:col>5</xdr:col>
      <xdr:colOff>1050925</xdr:colOff>
      <xdr:row>0</xdr:row>
      <xdr:rowOff>393700</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645E9263-92C7-0440-97BB-6F04EF8FF101}"/>
            </a:ext>
          </a:extLst>
        </xdr:cNvPr>
        <xdr:cNvSpPr/>
      </xdr:nvSpPr>
      <xdr:spPr>
        <a:xfrm>
          <a:off x="11235388375" y="12700"/>
          <a:ext cx="1457325" cy="381000"/>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9</xdr:col>
      <xdr:colOff>1766887</xdr:colOff>
      <xdr:row>0</xdr:row>
      <xdr:rowOff>14288</xdr:rowOff>
    </xdr:from>
    <xdr:to>
      <xdr:col>9</xdr:col>
      <xdr:colOff>3252787</xdr:colOff>
      <xdr:row>0</xdr:row>
      <xdr:rowOff>371476</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00000-0008-0000-1B00-000002000000}"/>
            </a:ext>
          </a:extLst>
        </xdr:cNvPr>
        <xdr:cNvSpPr/>
      </xdr:nvSpPr>
      <xdr:spPr>
        <a:xfrm>
          <a:off x="11229351113" y="14288"/>
          <a:ext cx="1485900" cy="357188"/>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17</xdr:col>
      <xdr:colOff>15538</xdr:colOff>
      <xdr:row>0</xdr:row>
      <xdr:rowOff>408224</xdr:rowOff>
    </xdr:from>
    <xdr:to>
      <xdr:col>18</xdr:col>
      <xdr:colOff>1182114</xdr:colOff>
      <xdr:row>2</xdr:row>
      <xdr:rowOff>0</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00000-0008-0000-1C00-000002000000}"/>
            </a:ext>
          </a:extLst>
        </xdr:cNvPr>
        <xdr:cNvSpPr/>
      </xdr:nvSpPr>
      <xdr:spPr>
        <a:xfrm>
          <a:off x="11058450759" y="408224"/>
          <a:ext cx="2490618" cy="510499"/>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oneCellAnchor>
    <xdr:from>
      <xdr:col>16</xdr:col>
      <xdr:colOff>0</xdr:colOff>
      <xdr:row>58</xdr:row>
      <xdr:rowOff>0</xdr:rowOff>
    </xdr:from>
    <xdr:ext cx="0" cy="0"/>
    <xdr:grpSp>
      <xdr:nvGrpSpPr>
        <xdr:cNvPr id="3" name="Shape 2">
          <a:extLst>
            <a:ext uri="{FF2B5EF4-FFF2-40B4-BE49-F238E27FC236}">
              <a16:creationId xmlns:a16="http://schemas.microsoft.com/office/drawing/2014/main" id="{AFD489F7-FA24-FC44-BD18-9091A7D742B4}"/>
            </a:ext>
          </a:extLst>
        </xdr:cNvPr>
        <xdr:cNvGrpSpPr/>
      </xdr:nvGrpSpPr>
      <xdr:grpSpPr>
        <a:xfrm>
          <a:off x="11017968766" y="21603511"/>
          <a:ext cx="0" cy="0"/>
          <a:chOff x="11017968766" y="21603511"/>
          <a:chExt cx="0" cy="0"/>
        </a:xfrm>
      </xdr:grpSpPr>
      <xdr:grpSp>
        <xdr:nvGrpSpPr>
          <xdr:cNvPr id="4" name="Shape 13">
            <a:extLst>
              <a:ext uri="{FF2B5EF4-FFF2-40B4-BE49-F238E27FC236}">
                <a16:creationId xmlns:a16="http://schemas.microsoft.com/office/drawing/2014/main" id="{CFAADC3E-5A59-A803-BEDA-3426F01EB560}"/>
              </a:ext>
            </a:extLst>
          </xdr:cNvPr>
          <xdr:cNvGrpSpPr/>
        </xdr:nvGrpSpPr>
        <xdr:grpSpPr>
          <a:xfrm>
            <a:off x="5346000" y="3780000"/>
            <a:ext cx="0" cy="0"/>
            <a:chOff x="0" y="0"/>
            <a:chExt cx="2053391" cy="485775"/>
          </a:xfrm>
        </xdr:grpSpPr>
        <xdr:sp macro="" textlink="">
          <xdr:nvSpPr>
            <xdr:cNvPr id="5" name="Shape 14">
              <a:extLst>
                <a:ext uri="{FF2B5EF4-FFF2-40B4-BE49-F238E27FC236}">
                  <a16:creationId xmlns:a16="http://schemas.microsoft.com/office/drawing/2014/main" id="{A2D211C4-CE38-CAB0-18B4-C9EDE363F62E}"/>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6" name="Shape 15">
              <a:extLst>
                <a:ext uri="{FF2B5EF4-FFF2-40B4-BE49-F238E27FC236}">
                  <a16:creationId xmlns:a16="http://schemas.microsoft.com/office/drawing/2014/main" id="{C9498574-EDE2-5C74-F03A-1297C4ABCEE9}"/>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7" name="Shape 16">
              <a:extLst>
                <a:ext uri="{FF2B5EF4-FFF2-40B4-BE49-F238E27FC236}">
                  <a16:creationId xmlns:a16="http://schemas.microsoft.com/office/drawing/2014/main" id="{E2A8C600-5BBE-6FB0-7417-42D901BE7AA2}"/>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oneCellAnchor>
    <xdr:from>
      <xdr:col>16</xdr:col>
      <xdr:colOff>0</xdr:colOff>
      <xdr:row>58</xdr:row>
      <xdr:rowOff>0</xdr:rowOff>
    </xdr:from>
    <xdr:ext cx="0" cy="0"/>
    <xdr:grpSp>
      <xdr:nvGrpSpPr>
        <xdr:cNvPr id="8" name="Shape 2">
          <a:extLst>
            <a:ext uri="{FF2B5EF4-FFF2-40B4-BE49-F238E27FC236}">
              <a16:creationId xmlns:a16="http://schemas.microsoft.com/office/drawing/2014/main" id="{A799767A-1CC9-8647-88CE-362CA0C28940}"/>
            </a:ext>
          </a:extLst>
        </xdr:cNvPr>
        <xdr:cNvGrpSpPr/>
      </xdr:nvGrpSpPr>
      <xdr:grpSpPr>
        <a:xfrm>
          <a:off x="11017968766" y="21603511"/>
          <a:ext cx="0" cy="0"/>
          <a:chOff x="11017968766" y="21603511"/>
          <a:chExt cx="0" cy="0"/>
        </a:xfrm>
      </xdr:grpSpPr>
      <xdr:grpSp>
        <xdr:nvGrpSpPr>
          <xdr:cNvPr id="9" name="Shape 13">
            <a:extLst>
              <a:ext uri="{FF2B5EF4-FFF2-40B4-BE49-F238E27FC236}">
                <a16:creationId xmlns:a16="http://schemas.microsoft.com/office/drawing/2014/main" id="{ABF080B9-135C-D2A6-5F84-CC5E87F6F5AD}"/>
              </a:ext>
            </a:extLst>
          </xdr:cNvPr>
          <xdr:cNvGrpSpPr/>
        </xdr:nvGrpSpPr>
        <xdr:grpSpPr>
          <a:xfrm>
            <a:off x="5346000" y="3780000"/>
            <a:ext cx="0" cy="0"/>
            <a:chOff x="0" y="0"/>
            <a:chExt cx="2053391" cy="485775"/>
          </a:xfrm>
        </xdr:grpSpPr>
        <xdr:sp macro="" textlink="">
          <xdr:nvSpPr>
            <xdr:cNvPr id="10" name="Shape 14">
              <a:extLst>
                <a:ext uri="{FF2B5EF4-FFF2-40B4-BE49-F238E27FC236}">
                  <a16:creationId xmlns:a16="http://schemas.microsoft.com/office/drawing/2014/main" id="{F2D06DAE-5F2E-1ABF-B218-6F41C143238D}"/>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1" name="Shape 15">
              <a:extLst>
                <a:ext uri="{FF2B5EF4-FFF2-40B4-BE49-F238E27FC236}">
                  <a16:creationId xmlns:a16="http://schemas.microsoft.com/office/drawing/2014/main" id="{EF43AA96-6F75-BEDC-1556-319328FB654D}"/>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12" name="Shape 16">
              <a:extLst>
                <a:ext uri="{FF2B5EF4-FFF2-40B4-BE49-F238E27FC236}">
                  <a16:creationId xmlns:a16="http://schemas.microsoft.com/office/drawing/2014/main" id="{D9B9210A-7649-7208-6FC9-11D749F425F2}"/>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oneCellAnchor>
    <xdr:from>
      <xdr:col>16</xdr:col>
      <xdr:colOff>0</xdr:colOff>
      <xdr:row>58</xdr:row>
      <xdr:rowOff>0</xdr:rowOff>
    </xdr:from>
    <xdr:ext cx="0" cy="0"/>
    <xdr:grpSp>
      <xdr:nvGrpSpPr>
        <xdr:cNvPr id="13" name="Shape 2">
          <a:extLst>
            <a:ext uri="{FF2B5EF4-FFF2-40B4-BE49-F238E27FC236}">
              <a16:creationId xmlns:a16="http://schemas.microsoft.com/office/drawing/2014/main" id="{9CFC047E-0C87-9F4D-A386-A4DF9C87B418}"/>
            </a:ext>
          </a:extLst>
        </xdr:cNvPr>
        <xdr:cNvGrpSpPr/>
      </xdr:nvGrpSpPr>
      <xdr:grpSpPr>
        <a:xfrm>
          <a:off x="11017968766" y="21603511"/>
          <a:ext cx="0" cy="0"/>
          <a:chOff x="11017968766" y="21603511"/>
          <a:chExt cx="0" cy="0"/>
        </a:xfrm>
      </xdr:grpSpPr>
      <xdr:grpSp>
        <xdr:nvGrpSpPr>
          <xdr:cNvPr id="14" name="Shape 13">
            <a:extLst>
              <a:ext uri="{FF2B5EF4-FFF2-40B4-BE49-F238E27FC236}">
                <a16:creationId xmlns:a16="http://schemas.microsoft.com/office/drawing/2014/main" id="{4F8CF48D-15D1-E77A-E02C-BFF22FC011ED}"/>
              </a:ext>
            </a:extLst>
          </xdr:cNvPr>
          <xdr:cNvGrpSpPr/>
        </xdr:nvGrpSpPr>
        <xdr:grpSpPr>
          <a:xfrm>
            <a:off x="5346000" y="3780000"/>
            <a:ext cx="0" cy="0"/>
            <a:chOff x="0" y="0"/>
            <a:chExt cx="2053391" cy="485775"/>
          </a:xfrm>
        </xdr:grpSpPr>
        <xdr:sp macro="" textlink="">
          <xdr:nvSpPr>
            <xdr:cNvPr id="15" name="Shape 14">
              <a:extLst>
                <a:ext uri="{FF2B5EF4-FFF2-40B4-BE49-F238E27FC236}">
                  <a16:creationId xmlns:a16="http://schemas.microsoft.com/office/drawing/2014/main" id="{1884B622-4445-AE36-605A-2EB500690659}"/>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16" name="Shape 15">
              <a:extLst>
                <a:ext uri="{FF2B5EF4-FFF2-40B4-BE49-F238E27FC236}">
                  <a16:creationId xmlns:a16="http://schemas.microsoft.com/office/drawing/2014/main" id="{EA29B573-3550-C12A-10F6-FE9DF47107E5}"/>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17" name="Shape 16">
              <a:extLst>
                <a:ext uri="{FF2B5EF4-FFF2-40B4-BE49-F238E27FC236}">
                  <a16:creationId xmlns:a16="http://schemas.microsoft.com/office/drawing/2014/main" id="{ACAA4E9A-45EA-248E-0D6E-9960307F518B}"/>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oneCellAnchor>
    <xdr:from>
      <xdr:col>16</xdr:col>
      <xdr:colOff>0</xdr:colOff>
      <xdr:row>58</xdr:row>
      <xdr:rowOff>0</xdr:rowOff>
    </xdr:from>
    <xdr:ext cx="0" cy="0"/>
    <xdr:grpSp>
      <xdr:nvGrpSpPr>
        <xdr:cNvPr id="18" name="Shape 2">
          <a:extLst>
            <a:ext uri="{FF2B5EF4-FFF2-40B4-BE49-F238E27FC236}">
              <a16:creationId xmlns:a16="http://schemas.microsoft.com/office/drawing/2014/main" id="{0A3F0841-0ADE-A44A-992D-3FDD84258177}"/>
            </a:ext>
          </a:extLst>
        </xdr:cNvPr>
        <xdr:cNvGrpSpPr/>
      </xdr:nvGrpSpPr>
      <xdr:grpSpPr>
        <a:xfrm>
          <a:off x="11017968766" y="21603511"/>
          <a:ext cx="0" cy="0"/>
          <a:chOff x="11017968766" y="21603511"/>
          <a:chExt cx="0" cy="0"/>
        </a:xfrm>
      </xdr:grpSpPr>
      <xdr:grpSp>
        <xdr:nvGrpSpPr>
          <xdr:cNvPr id="19" name="Shape 13">
            <a:extLst>
              <a:ext uri="{FF2B5EF4-FFF2-40B4-BE49-F238E27FC236}">
                <a16:creationId xmlns:a16="http://schemas.microsoft.com/office/drawing/2014/main" id="{FD04C276-A86E-2AFE-B3F2-70ED82FC4C9F}"/>
              </a:ext>
            </a:extLst>
          </xdr:cNvPr>
          <xdr:cNvGrpSpPr/>
        </xdr:nvGrpSpPr>
        <xdr:grpSpPr>
          <a:xfrm>
            <a:off x="5346000" y="3780000"/>
            <a:ext cx="0" cy="0"/>
            <a:chOff x="0" y="0"/>
            <a:chExt cx="2053391" cy="485775"/>
          </a:xfrm>
        </xdr:grpSpPr>
        <xdr:sp macro="" textlink="">
          <xdr:nvSpPr>
            <xdr:cNvPr id="20" name="Shape 14">
              <a:extLst>
                <a:ext uri="{FF2B5EF4-FFF2-40B4-BE49-F238E27FC236}">
                  <a16:creationId xmlns:a16="http://schemas.microsoft.com/office/drawing/2014/main" id="{742E56C2-1B5F-E5DF-014A-E10A6BE37496}"/>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1" name="Shape 15">
              <a:extLst>
                <a:ext uri="{FF2B5EF4-FFF2-40B4-BE49-F238E27FC236}">
                  <a16:creationId xmlns:a16="http://schemas.microsoft.com/office/drawing/2014/main" id="{21D61D62-1DBF-0871-8AC8-FC1C0C57C229}"/>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22" name="Shape 16">
              <a:extLst>
                <a:ext uri="{FF2B5EF4-FFF2-40B4-BE49-F238E27FC236}">
                  <a16:creationId xmlns:a16="http://schemas.microsoft.com/office/drawing/2014/main" id="{E3E0DDBF-7045-778B-1057-E88A026F3EFE}"/>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oneCellAnchor>
    <xdr:from>
      <xdr:col>16</xdr:col>
      <xdr:colOff>0</xdr:colOff>
      <xdr:row>58</xdr:row>
      <xdr:rowOff>0</xdr:rowOff>
    </xdr:from>
    <xdr:ext cx="0" cy="0"/>
    <xdr:grpSp>
      <xdr:nvGrpSpPr>
        <xdr:cNvPr id="23" name="Shape 2">
          <a:extLst>
            <a:ext uri="{FF2B5EF4-FFF2-40B4-BE49-F238E27FC236}">
              <a16:creationId xmlns:a16="http://schemas.microsoft.com/office/drawing/2014/main" id="{E58ADEB2-837B-A446-B61B-9B610C1388E0}"/>
            </a:ext>
          </a:extLst>
        </xdr:cNvPr>
        <xdr:cNvGrpSpPr/>
      </xdr:nvGrpSpPr>
      <xdr:grpSpPr>
        <a:xfrm>
          <a:off x="11017968766" y="21603511"/>
          <a:ext cx="0" cy="0"/>
          <a:chOff x="11017968766" y="21603511"/>
          <a:chExt cx="0" cy="0"/>
        </a:xfrm>
      </xdr:grpSpPr>
      <xdr:grpSp>
        <xdr:nvGrpSpPr>
          <xdr:cNvPr id="24" name="Shape 13">
            <a:extLst>
              <a:ext uri="{FF2B5EF4-FFF2-40B4-BE49-F238E27FC236}">
                <a16:creationId xmlns:a16="http://schemas.microsoft.com/office/drawing/2014/main" id="{A05812FF-3A35-96C2-97EA-640715EB832B}"/>
              </a:ext>
            </a:extLst>
          </xdr:cNvPr>
          <xdr:cNvGrpSpPr/>
        </xdr:nvGrpSpPr>
        <xdr:grpSpPr>
          <a:xfrm>
            <a:off x="5346000" y="3780000"/>
            <a:ext cx="0" cy="0"/>
            <a:chOff x="0" y="0"/>
            <a:chExt cx="2053391" cy="485775"/>
          </a:xfrm>
        </xdr:grpSpPr>
        <xdr:sp macro="" textlink="">
          <xdr:nvSpPr>
            <xdr:cNvPr id="25" name="Shape 14">
              <a:extLst>
                <a:ext uri="{FF2B5EF4-FFF2-40B4-BE49-F238E27FC236}">
                  <a16:creationId xmlns:a16="http://schemas.microsoft.com/office/drawing/2014/main" id="{B2355B45-88F0-6A18-F69C-7C673A828E0B}"/>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26" name="Shape 15">
              <a:extLst>
                <a:ext uri="{FF2B5EF4-FFF2-40B4-BE49-F238E27FC236}">
                  <a16:creationId xmlns:a16="http://schemas.microsoft.com/office/drawing/2014/main" id="{D555FD93-6B93-57BB-A435-17E03F3F641A}"/>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27" name="Shape 16">
              <a:extLst>
                <a:ext uri="{FF2B5EF4-FFF2-40B4-BE49-F238E27FC236}">
                  <a16:creationId xmlns:a16="http://schemas.microsoft.com/office/drawing/2014/main" id="{071AE3BD-73E1-E81B-EA6E-88579378D74E}"/>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oneCellAnchor>
    <xdr:from>
      <xdr:col>16</xdr:col>
      <xdr:colOff>0</xdr:colOff>
      <xdr:row>58</xdr:row>
      <xdr:rowOff>0</xdr:rowOff>
    </xdr:from>
    <xdr:ext cx="0" cy="0"/>
    <xdr:grpSp>
      <xdr:nvGrpSpPr>
        <xdr:cNvPr id="28" name="Shape 2">
          <a:extLst>
            <a:ext uri="{FF2B5EF4-FFF2-40B4-BE49-F238E27FC236}">
              <a16:creationId xmlns:a16="http://schemas.microsoft.com/office/drawing/2014/main" id="{325B8408-73DA-EC44-81BB-8C8B2C76246E}"/>
            </a:ext>
          </a:extLst>
        </xdr:cNvPr>
        <xdr:cNvGrpSpPr/>
      </xdr:nvGrpSpPr>
      <xdr:grpSpPr>
        <a:xfrm>
          <a:off x="11017968766" y="21603511"/>
          <a:ext cx="0" cy="0"/>
          <a:chOff x="11017968766" y="21603511"/>
          <a:chExt cx="0" cy="0"/>
        </a:xfrm>
      </xdr:grpSpPr>
      <xdr:grpSp>
        <xdr:nvGrpSpPr>
          <xdr:cNvPr id="29" name="Shape 13">
            <a:extLst>
              <a:ext uri="{FF2B5EF4-FFF2-40B4-BE49-F238E27FC236}">
                <a16:creationId xmlns:a16="http://schemas.microsoft.com/office/drawing/2014/main" id="{BBFFA58D-8884-19AA-31C8-F5A740E22F01}"/>
              </a:ext>
            </a:extLst>
          </xdr:cNvPr>
          <xdr:cNvGrpSpPr/>
        </xdr:nvGrpSpPr>
        <xdr:grpSpPr>
          <a:xfrm>
            <a:off x="5346000" y="3780000"/>
            <a:ext cx="0" cy="0"/>
            <a:chOff x="0" y="0"/>
            <a:chExt cx="2053391" cy="485775"/>
          </a:xfrm>
        </xdr:grpSpPr>
        <xdr:sp macro="" textlink="">
          <xdr:nvSpPr>
            <xdr:cNvPr id="30" name="Shape 14">
              <a:extLst>
                <a:ext uri="{FF2B5EF4-FFF2-40B4-BE49-F238E27FC236}">
                  <a16:creationId xmlns:a16="http://schemas.microsoft.com/office/drawing/2014/main" id="{61674943-2770-3CA8-8001-486670BAD09E}"/>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31" name="Shape 15">
              <a:extLst>
                <a:ext uri="{FF2B5EF4-FFF2-40B4-BE49-F238E27FC236}">
                  <a16:creationId xmlns:a16="http://schemas.microsoft.com/office/drawing/2014/main" id="{A1DCACFC-2777-A632-EE6D-A2DD1314DA0C}"/>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32" name="Shape 16">
              <a:extLst>
                <a:ext uri="{FF2B5EF4-FFF2-40B4-BE49-F238E27FC236}">
                  <a16:creationId xmlns:a16="http://schemas.microsoft.com/office/drawing/2014/main" id="{86BA8AB7-0CA0-1FAF-9E8E-B1AEB4E9E3AD}"/>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oneCellAnchor>
    <xdr:from>
      <xdr:col>16</xdr:col>
      <xdr:colOff>0</xdr:colOff>
      <xdr:row>58</xdr:row>
      <xdr:rowOff>0</xdr:rowOff>
    </xdr:from>
    <xdr:ext cx="0" cy="0"/>
    <xdr:grpSp>
      <xdr:nvGrpSpPr>
        <xdr:cNvPr id="33" name="Shape 2">
          <a:extLst>
            <a:ext uri="{FF2B5EF4-FFF2-40B4-BE49-F238E27FC236}">
              <a16:creationId xmlns:a16="http://schemas.microsoft.com/office/drawing/2014/main" id="{0256D4EB-0ECE-2348-9B01-6F5C683A1A20}"/>
            </a:ext>
          </a:extLst>
        </xdr:cNvPr>
        <xdr:cNvGrpSpPr/>
      </xdr:nvGrpSpPr>
      <xdr:grpSpPr>
        <a:xfrm>
          <a:off x="11017968766" y="21603511"/>
          <a:ext cx="0" cy="0"/>
          <a:chOff x="11017968766" y="21603511"/>
          <a:chExt cx="0" cy="0"/>
        </a:xfrm>
      </xdr:grpSpPr>
      <xdr:grpSp>
        <xdr:nvGrpSpPr>
          <xdr:cNvPr id="34" name="Shape 13">
            <a:extLst>
              <a:ext uri="{FF2B5EF4-FFF2-40B4-BE49-F238E27FC236}">
                <a16:creationId xmlns:a16="http://schemas.microsoft.com/office/drawing/2014/main" id="{409373AD-A448-2B8C-5C93-4672D7E202F3}"/>
              </a:ext>
            </a:extLst>
          </xdr:cNvPr>
          <xdr:cNvGrpSpPr/>
        </xdr:nvGrpSpPr>
        <xdr:grpSpPr>
          <a:xfrm>
            <a:off x="5346000" y="3780000"/>
            <a:ext cx="0" cy="0"/>
            <a:chOff x="0" y="0"/>
            <a:chExt cx="2053391" cy="485775"/>
          </a:xfrm>
        </xdr:grpSpPr>
        <xdr:sp macro="" textlink="">
          <xdr:nvSpPr>
            <xdr:cNvPr id="35" name="Shape 14">
              <a:extLst>
                <a:ext uri="{FF2B5EF4-FFF2-40B4-BE49-F238E27FC236}">
                  <a16:creationId xmlns:a16="http://schemas.microsoft.com/office/drawing/2014/main" id="{3BBEAF8F-F48D-D0E3-58AF-CF5C66D8D286}"/>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36" name="Shape 15">
              <a:extLst>
                <a:ext uri="{FF2B5EF4-FFF2-40B4-BE49-F238E27FC236}">
                  <a16:creationId xmlns:a16="http://schemas.microsoft.com/office/drawing/2014/main" id="{D2EE4DCE-317D-33EA-DE07-04F6D281D260}"/>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37" name="Shape 16">
              <a:extLst>
                <a:ext uri="{FF2B5EF4-FFF2-40B4-BE49-F238E27FC236}">
                  <a16:creationId xmlns:a16="http://schemas.microsoft.com/office/drawing/2014/main" id="{1D2FAB33-C126-BBF9-0560-740D47EA2295}"/>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oneCellAnchor>
    <xdr:from>
      <xdr:col>0</xdr:col>
      <xdr:colOff>209550</xdr:colOff>
      <xdr:row>58</xdr:row>
      <xdr:rowOff>0</xdr:rowOff>
    </xdr:from>
    <xdr:ext cx="2085975" cy="742950"/>
    <xdr:sp macro="" textlink="">
      <xdr:nvSpPr>
        <xdr:cNvPr id="38" name="Shape 17">
          <a:extLst>
            <a:ext uri="{FF2B5EF4-FFF2-40B4-BE49-F238E27FC236}">
              <a16:creationId xmlns:a16="http://schemas.microsoft.com/office/drawing/2014/main" id="{FE6E2759-2248-2648-A5B8-C6FEF504B7B9}"/>
            </a:ext>
          </a:extLst>
        </xdr:cNvPr>
        <xdr:cNvSpPr/>
      </xdr:nvSpPr>
      <xdr:spPr>
        <a:xfrm>
          <a:off x="11037065175" y="21920200"/>
          <a:ext cx="2085975" cy="742950"/>
        </a:xfrm>
        <a:prstGeom prst="rect">
          <a:avLst/>
        </a:prstGeom>
        <a:noFill/>
        <a:ln>
          <a:noFill/>
        </a:ln>
      </xdr:spPr>
      <xdr:txBody>
        <a:bodyPr spcFirstLastPara="1" wrap="square" lIns="91425" tIns="45700" rIns="91425" bIns="45700" anchor="ctr" anchorCtr="0">
          <a:noAutofit/>
        </a:bodyPr>
        <a:lstStyle/>
        <a:p>
          <a:pPr marL="0" lvl="0" indent="0" algn="ctr" rtl="0">
            <a:lnSpc>
              <a:spcPct val="107000"/>
            </a:lnSpc>
            <a:spcBef>
              <a:spcPts val="0"/>
            </a:spcBef>
            <a:spcAft>
              <a:spcPts val="0"/>
            </a:spcAft>
            <a:buNone/>
          </a:pPr>
          <a:endParaRPr sz="1100"/>
        </a:p>
      </xdr:txBody>
    </xdr:sp>
    <xdr:clientData fLocksWithSheet="0"/>
  </xdr:oneCellAnchor>
  <xdr:oneCellAnchor>
    <xdr:from>
      <xdr:col>16</xdr:col>
      <xdr:colOff>0</xdr:colOff>
      <xdr:row>58</xdr:row>
      <xdr:rowOff>0</xdr:rowOff>
    </xdr:from>
    <xdr:ext cx="0" cy="0"/>
    <xdr:grpSp>
      <xdr:nvGrpSpPr>
        <xdr:cNvPr id="39" name="Shape 2">
          <a:extLst>
            <a:ext uri="{FF2B5EF4-FFF2-40B4-BE49-F238E27FC236}">
              <a16:creationId xmlns:a16="http://schemas.microsoft.com/office/drawing/2014/main" id="{520330B2-0AA7-F145-BBFA-A4D00675F61D}"/>
            </a:ext>
          </a:extLst>
        </xdr:cNvPr>
        <xdr:cNvGrpSpPr/>
      </xdr:nvGrpSpPr>
      <xdr:grpSpPr>
        <a:xfrm>
          <a:off x="11017968766" y="21603511"/>
          <a:ext cx="0" cy="0"/>
          <a:chOff x="11017968766" y="21603511"/>
          <a:chExt cx="0" cy="0"/>
        </a:xfrm>
      </xdr:grpSpPr>
      <xdr:grpSp>
        <xdr:nvGrpSpPr>
          <xdr:cNvPr id="40" name="Shape 13">
            <a:extLst>
              <a:ext uri="{FF2B5EF4-FFF2-40B4-BE49-F238E27FC236}">
                <a16:creationId xmlns:a16="http://schemas.microsoft.com/office/drawing/2014/main" id="{5B244BBB-D925-260D-2200-6164318C02A4}"/>
              </a:ext>
            </a:extLst>
          </xdr:cNvPr>
          <xdr:cNvGrpSpPr/>
        </xdr:nvGrpSpPr>
        <xdr:grpSpPr>
          <a:xfrm>
            <a:off x="5346000" y="3780000"/>
            <a:ext cx="0" cy="0"/>
            <a:chOff x="0" y="0"/>
            <a:chExt cx="2053391" cy="485775"/>
          </a:xfrm>
        </xdr:grpSpPr>
        <xdr:sp macro="" textlink="">
          <xdr:nvSpPr>
            <xdr:cNvPr id="41" name="Shape 14">
              <a:extLst>
                <a:ext uri="{FF2B5EF4-FFF2-40B4-BE49-F238E27FC236}">
                  <a16:creationId xmlns:a16="http://schemas.microsoft.com/office/drawing/2014/main" id="{2B0207C9-8B9C-44E5-0905-9BD6BAA3CD18}"/>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42" name="Shape 15">
              <a:extLst>
                <a:ext uri="{FF2B5EF4-FFF2-40B4-BE49-F238E27FC236}">
                  <a16:creationId xmlns:a16="http://schemas.microsoft.com/office/drawing/2014/main" id="{C0426162-A1B1-CC26-A737-EE46BB615D63}"/>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43" name="Shape 16">
              <a:extLst>
                <a:ext uri="{FF2B5EF4-FFF2-40B4-BE49-F238E27FC236}">
                  <a16:creationId xmlns:a16="http://schemas.microsoft.com/office/drawing/2014/main" id="{11660895-6D44-9446-C91B-684E25ABDD49}"/>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oneCellAnchor>
    <xdr:from>
      <xdr:col>0</xdr:col>
      <xdr:colOff>209550</xdr:colOff>
      <xdr:row>58</xdr:row>
      <xdr:rowOff>0</xdr:rowOff>
    </xdr:from>
    <xdr:ext cx="2085975" cy="742950"/>
    <xdr:sp macro="" textlink="">
      <xdr:nvSpPr>
        <xdr:cNvPr id="44" name="Shape 17">
          <a:extLst>
            <a:ext uri="{FF2B5EF4-FFF2-40B4-BE49-F238E27FC236}">
              <a16:creationId xmlns:a16="http://schemas.microsoft.com/office/drawing/2014/main" id="{AB2D2CFB-669D-F348-9878-A2261C8B8F9F}"/>
            </a:ext>
          </a:extLst>
        </xdr:cNvPr>
        <xdr:cNvSpPr/>
      </xdr:nvSpPr>
      <xdr:spPr>
        <a:xfrm>
          <a:off x="11037065175" y="21920200"/>
          <a:ext cx="2085975" cy="742950"/>
        </a:xfrm>
        <a:prstGeom prst="rect">
          <a:avLst/>
        </a:prstGeom>
        <a:noFill/>
        <a:ln>
          <a:noFill/>
        </a:ln>
      </xdr:spPr>
      <xdr:txBody>
        <a:bodyPr spcFirstLastPara="1" wrap="square" lIns="91425" tIns="45700" rIns="91425" bIns="45700" anchor="ctr" anchorCtr="0">
          <a:noAutofit/>
        </a:bodyPr>
        <a:lstStyle/>
        <a:p>
          <a:pPr marL="0" lvl="0" indent="0" algn="ctr" rtl="0">
            <a:lnSpc>
              <a:spcPct val="107000"/>
            </a:lnSpc>
            <a:spcBef>
              <a:spcPts val="0"/>
            </a:spcBef>
            <a:spcAft>
              <a:spcPts val="0"/>
            </a:spcAft>
            <a:buNone/>
          </a:pPr>
          <a:endParaRPr sz="1800">
            <a:solidFill>
              <a:schemeClr val="dk1"/>
            </a:solidFill>
          </a:endParaRPr>
        </a:p>
      </xdr:txBody>
    </xdr:sp>
    <xdr:clientData fLocksWithSheet="0"/>
  </xdr:oneCellAnchor>
  <xdr:oneCellAnchor>
    <xdr:from>
      <xdr:col>16</xdr:col>
      <xdr:colOff>0</xdr:colOff>
      <xdr:row>58</xdr:row>
      <xdr:rowOff>0</xdr:rowOff>
    </xdr:from>
    <xdr:ext cx="0" cy="0"/>
    <xdr:grpSp>
      <xdr:nvGrpSpPr>
        <xdr:cNvPr id="45" name="Shape 2">
          <a:extLst>
            <a:ext uri="{FF2B5EF4-FFF2-40B4-BE49-F238E27FC236}">
              <a16:creationId xmlns:a16="http://schemas.microsoft.com/office/drawing/2014/main" id="{F234FB95-465A-D341-8BCB-7D0FABA01696}"/>
            </a:ext>
          </a:extLst>
        </xdr:cNvPr>
        <xdr:cNvGrpSpPr/>
      </xdr:nvGrpSpPr>
      <xdr:grpSpPr>
        <a:xfrm>
          <a:off x="11017968766" y="21603511"/>
          <a:ext cx="0" cy="0"/>
          <a:chOff x="11017968766" y="21603511"/>
          <a:chExt cx="0" cy="0"/>
        </a:xfrm>
      </xdr:grpSpPr>
      <xdr:grpSp>
        <xdr:nvGrpSpPr>
          <xdr:cNvPr id="46" name="Shape 13">
            <a:extLst>
              <a:ext uri="{FF2B5EF4-FFF2-40B4-BE49-F238E27FC236}">
                <a16:creationId xmlns:a16="http://schemas.microsoft.com/office/drawing/2014/main" id="{5DD23177-BFD2-097D-CC6D-0F521044B59B}"/>
              </a:ext>
            </a:extLst>
          </xdr:cNvPr>
          <xdr:cNvGrpSpPr/>
        </xdr:nvGrpSpPr>
        <xdr:grpSpPr>
          <a:xfrm>
            <a:off x="5346000" y="3780000"/>
            <a:ext cx="0" cy="0"/>
            <a:chOff x="0" y="0"/>
            <a:chExt cx="2053391" cy="485775"/>
          </a:xfrm>
        </xdr:grpSpPr>
        <xdr:sp macro="" textlink="">
          <xdr:nvSpPr>
            <xdr:cNvPr id="47" name="Shape 14">
              <a:extLst>
                <a:ext uri="{FF2B5EF4-FFF2-40B4-BE49-F238E27FC236}">
                  <a16:creationId xmlns:a16="http://schemas.microsoft.com/office/drawing/2014/main" id="{659EC2CB-F8BD-93C6-4951-C7EAB3FECBBD}"/>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48" name="Shape 15">
              <a:extLst>
                <a:ext uri="{FF2B5EF4-FFF2-40B4-BE49-F238E27FC236}">
                  <a16:creationId xmlns:a16="http://schemas.microsoft.com/office/drawing/2014/main" id="{7CEA53D1-FF5F-BA52-86A9-1127B98E5F9F}"/>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49" name="Shape 16">
              <a:extLst>
                <a:ext uri="{FF2B5EF4-FFF2-40B4-BE49-F238E27FC236}">
                  <a16:creationId xmlns:a16="http://schemas.microsoft.com/office/drawing/2014/main" id="{AA4FF8D5-CA0D-6AA8-7C27-E24CC9C6F647}"/>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oneCellAnchor>
    <xdr:from>
      <xdr:col>16</xdr:col>
      <xdr:colOff>0</xdr:colOff>
      <xdr:row>58</xdr:row>
      <xdr:rowOff>0</xdr:rowOff>
    </xdr:from>
    <xdr:ext cx="0" cy="0"/>
    <xdr:grpSp>
      <xdr:nvGrpSpPr>
        <xdr:cNvPr id="50" name="Shape 2">
          <a:extLst>
            <a:ext uri="{FF2B5EF4-FFF2-40B4-BE49-F238E27FC236}">
              <a16:creationId xmlns:a16="http://schemas.microsoft.com/office/drawing/2014/main" id="{ECA8835C-D32C-8946-94DF-E09725B01373}"/>
            </a:ext>
          </a:extLst>
        </xdr:cNvPr>
        <xdr:cNvGrpSpPr/>
      </xdr:nvGrpSpPr>
      <xdr:grpSpPr>
        <a:xfrm>
          <a:off x="11017968766" y="21603511"/>
          <a:ext cx="0" cy="0"/>
          <a:chOff x="11017968766" y="21603511"/>
          <a:chExt cx="0" cy="0"/>
        </a:xfrm>
      </xdr:grpSpPr>
      <xdr:grpSp>
        <xdr:nvGrpSpPr>
          <xdr:cNvPr id="51" name="Shape 13">
            <a:extLst>
              <a:ext uri="{FF2B5EF4-FFF2-40B4-BE49-F238E27FC236}">
                <a16:creationId xmlns:a16="http://schemas.microsoft.com/office/drawing/2014/main" id="{7989CE0F-8945-87FF-EA1C-6E7E7CF4E815}"/>
              </a:ext>
            </a:extLst>
          </xdr:cNvPr>
          <xdr:cNvGrpSpPr/>
        </xdr:nvGrpSpPr>
        <xdr:grpSpPr>
          <a:xfrm>
            <a:off x="5346000" y="3780000"/>
            <a:ext cx="0" cy="0"/>
            <a:chOff x="0" y="0"/>
            <a:chExt cx="2053391" cy="485775"/>
          </a:xfrm>
        </xdr:grpSpPr>
        <xdr:sp macro="" textlink="">
          <xdr:nvSpPr>
            <xdr:cNvPr id="52" name="Shape 14">
              <a:extLst>
                <a:ext uri="{FF2B5EF4-FFF2-40B4-BE49-F238E27FC236}">
                  <a16:creationId xmlns:a16="http://schemas.microsoft.com/office/drawing/2014/main" id="{3388B941-16DF-10CE-F405-618D295C0408}"/>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3" name="Shape 15">
              <a:extLst>
                <a:ext uri="{FF2B5EF4-FFF2-40B4-BE49-F238E27FC236}">
                  <a16:creationId xmlns:a16="http://schemas.microsoft.com/office/drawing/2014/main" id="{2E722217-9CF4-67A7-910A-FF9C4D5D78F1}"/>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54" name="Shape 16">
              <a:extLst>
                <a:ext uri="{FF2B5EF4-FFF2-40B4-BE49-F238E27FC236}">
                  <a16:creationId xmlns:a16="http://schemas.microsoft.com/office/drawing/2014/main" id="{A9BD1DA0-7BB5-F06D-D798-731907F5B0C1}"/>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oneCellAnchor>
    <xdr:from>
      <xdr:col>15</xdr:col>
      <xdr:colOff>0</xdr:colOff>
      <xdr:row>58</xdr:row>
      <xdr:rowOff>0</xdr:rowOff>
    </xdr:from>
    <xdr:ext cx="0" cy="0"/>
    <xdr:grpSp>
      <xdr:nvGrpSpPr>
        <xdr:cNvPr id="55" name="Shape 2">
          <a:extLst>
            <a:ext uri="{FF2B5EF4-FFF2-40B4-BE49-F238E27FC236}">
              <a16:creationId xmlns:a16="http://schemas.microsoft.com/office/drawing/2014/main" id="{F700A9AD-7D95-4A4F-A63D-F55C6C6716B9}"/>
            </a:ext>
          </a:extLst>
        </xdr:cNvPr>
        <xdr:cNvGrpSpPr/>
      </xdr:nvGrpSpPr>
      <xdr:grpSpPr>
        <a:xfrm>
          <a:off x="11019176617" y="21603511"/>
          <a:ext cx="0" cy="0"/>
          <a:chOff x="11019176617" y="21603511"/>
          <a:chExt cx="0" cy="0"/>
        </a:xfrm>
      </xdr:grpSpPr>
      <xdr:grpSp>
        <xdr:nvGrpSpPr>
          <xdr:cNvPr id="56" name="Shape 13">
            <a:extLst>
              <a:ext uri="{FF2B5EF4-FFF2-40B4-BE49-F238E27FC236}">
                <a16:creationId xmlns:a16="http://schemas.microsoft.com/office/drawing/2014/main" id="{61FB1AF2-47B6-2CEE-1F45-4E243C3E1CD7}"/>
              </a:ext>
            </a:extLst>
          </xdr:cNvPr>
          <xdr:cNvGrpSpPr/>
        </xdr:nvGrpSpPr>
        <xdr:grpSpPr>
          <a:xfrm>
            <a:off x="5346000" y="3780000"/>
            <a:ext cx="0" cy="0"/>
            <a:chOff x="0" y="0"/>
            <a:chExt cx="2053391" cy="485775"/>
          </a:xfrm>
        </xdr:grpSpPr>
        <xdr:sp macro="" textlink="">
          <xdr:nvSpPr>
            <xdr:cNvPr id="57" name="Shape 14">
              <a:extLst>
                <a:ext uri="{FF2B5EF4-FFF2-40B4-BE49-F238E27FC236}">
                  <a16:creationId xmlns:a16="http://schemas.microsoft.com/office/drawing/2014/main" id="{8836A154-0924-3FE9-6547-E83CE3EDC3B9}"/>
                </a:ext>
              </a:extLst>
            </xdr:cNvPr>
            <xdr:cNvSpPr/>
          </xdr:nvSpPr>
          <xdr:spPr>
            <a:xfrm>
              <a:off x="0" y="0"/>
              <a:ext cx="2053375" cy="485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8" name="Shape 15">
              <a:extLst>
                <a:ext uri="{FF2B5EF4-FFF2-40B4-BE49-F238E27FC236}">
                  <a16:creationId xmlns:a16="http://schemas.microsoft.com/office/drawing/2014/main" id="{32AE4383-D5C5-BBA1-C7BA-25B708EA5B57}"/>
                </a:ext>
              </a:extLst>
            </xdr:cNvPr>
            <xdr:cNvPicPr preferRelativeResize="0"/>
          </xdr:nvPicPr>
          <xdr:blipFill rotWithShape="1">
            <a:blip xmlns:r="http://schemas.openxmlformats.org/officeDocument/2006/relationships" r:embed="rId2">
              <a:alphaModFix/>
            </a:blip>
            <a:srcRect t="53042" b="15750"/>
            <a:stretch/>
          </xdr:blipFill>
          <xdr:spPr>
            <a:xfrm>
              <a:off x="0" y="52388"/>
              <a:ext cx="1859280" cy="286376"/>
            </a:xfrm>
            <a:prstGeom prst="rect">
              <a:avLst/>
            </a:prstGeom>
            <a:noFill/>
            <a:ln>
              <a:noFill/>
            </a:ln>
          </xdr:spPr>
        </xdr:pic>
        <xdr:pic>
          <xdr:nvPicPr>
            <xdr:cNvPr id="59" name="Shape 16">
              <a:extLst>
                <a:ext uri="{FF2B5EF4-FFF2-40B4-BE49-F238E27FC236}">
                  <a16:creationId xmlns:a16="http://schemas.microsoft.com/office/drawing/2014/main" id="{797D89E6-2885-CFB4-64DC-29152A7F22A4}"/>
                </a:ext>
              </a:extLst>
            </xdr:cNvPr>
            <xdr:cNvPicPr preferRelativeResize="0"/>
          </xdr:nvPicPr>
          <xdr:blipFill rotWithShape="1">
            <a:blip xmlns:r="http://schemas.openxmlformats.org/officeDocument/2006/relationships" r:embed="rId3">
              <a:alphaModFix/>
            </a:blip>
            <a:srcRect l="34409" t="16798" r="33333" b="44259"/>
            <a:stretch/>
          </xdr:blipFill>
          <xdr:spPr>
            <a:xfrm>
              <a:off x="1481891" y="0"/>
              <a:ext cx="571500" cy="485775"/>
            </a:xfrm>
            <a:prstGeom prst="rect">
              <a:avLst/>
            </a:prstGeom>
            <a:noFill/>
            <a:ln>
              <a:noFill/>
            </a:ln>
          </xdr:spPr>
        </xdr:pic>
      </xdr:grpSp>
    </xdr:grpSp>
    <xdr:clientData fLocksWithSheet="0"/>
  </xdr:oneCellAnchor>
</xdr:wsDr>
</file>

<file path=xl/drawings/drawing19.xml><?xml version="1.0" encoding="utf-8"?>
<xdr:wsDr xmlns:xdr="http://schemas.openxmlformats.org/drawingml/2006/spreadsheetDrawing" xmlns:a="http://schemas.openxmlformats.org/drawingml/2006/main">
  <xdr:twoCellAnchor>
    <xdr:from>
      <xdr:col>17</xdr:col>
      <xdr:colOff>456405</xdr:colOff>
      <xdr:row>3</xdr:row>
      <xdr:rowOff>143668</xdr:rowOff>
    </xdr:from>
    <xdr:to>
      <xdr:col>17</xdr:col>
      <xdr:colOff>457993</xdr:colOff>
      <xdr:row>5</xdr:row>
      <xdr:rowOff>115093</xdr:rowOff>
    </xdr:to>
    <xdr:cxnSp macro="">
      <xdr:nvCxnSpPr>
        <xdr:cNvPr id="2" name="رابط كسهم مستقيم 1">
          <a:extLst>
            <a:ext uri="{FF2B5EF4-FFF2-40B4-BE49-F238E27FC236}">
              <a16:creationId xmlns:a16="http://schemas.microsoft.com/office/drawing/2014/main" id="{00000000-0008-0000-1D00-000002000000}"/>
            </a:ext>
          </a:extLst>
        </xdr:cNvPr>
        <xdr:cNvCxnSpPr/>
      </xdr:nvCxnSpPr>
      <xdr:spPr>
        <a:xfrm rot="5400000">
          <a:off x="11224560038" y="2109787"/>
          <a:ext cx="714375" cy="1588"/>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457197</xdr:colOff>
      <xdr:row>6</xdr:row>
      <xdr:rowOff>123826</xdr:rowOff>
    </xdr:from>
    <xdr:to>
      <xdr:col>17</xdr:col>
      <xdr:colOff>457199</xdr:colOff>
      <xdr:row>8</xdr:row>
      <xdr:rowOff>285750</xdr:rowOff>
    </xdr:to>
    <xdr:cxnSp macro="">
      <xdr:nvCxnSpPr>
        <xdr:cNvPr id="3" name="رابط كسهم مستقيم 2">
          <a:extLst>
            <a:ext uri="{FF2B5EF4-FFF2-40B4-BE49-F238E27FC236}">
              <a16:creationId xmlns:a16="http://schemas.microsoft.com/office/drawing/2014/main" id="{00000000-0008-0000-1D00-000003000000}"/>
            </a:ext>
          </a:extLst>
        </xdr:cNvPr>
        <xdr:cNvCxnSpPr/>
      </xdr:nvCxnSpPr>
      <xdr:spPr>
        <a:xfrm rot="16200000" flipV="1">
          <a:off x="11224464790" y="3300412"/>
          <a:ext cx="904874" cy="2"/>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436562</xdr:colOff>
      <xdr:row>3</xdr:row>
      <xdr:rowOff>200026</xdr:rowOff>
    </xdr:from>
    <xdr:to>
      <xdr:col>15</xdr:col>
      <xdr:colOff>438150</xdr:colOff>
      <xdr:row>5</xdr:row>
      <xdr:rowOff>171451</xdr:rowOff>
    </xdr:to>
    <xdr:cxnSp macro="">
      <xdr:nvCxnSpPr>
        <xdr:cNvPr id="4" name="رابط كسهم مستقيم 3">
          <a:extLst>
            <a:ext uri="{FF2B5EF4-FFF2-40B4-BE49-F238E27FC236}">
              <a16:creationId xmlns:a16="http://schemas.microsoft.com/office/drawing/2014/main" id="{00000000-0008-0000-1D00-000004000000}"/>
            </a:ext>
          </a:extLst>
        </xdr:cNvPr>
        <xdr:cNvCxnSpPr/>
      </xdr:nvCxnSpPr>
      <xdr:spPr>
        <a:xfrm rot="5400000">
          <a:off x="11226637281" y="2166145"/>
          <a:ext cx="714375" cy="1588"/>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436562</xdr:colOff>
      <xdr:row>3</xdr:row>
      <xdr:rowOff>180976</xdr:rowOff>
    </xdr:from>
    <xdr:to>
      <xdr:col>12</xdr:col>
      <xdr:colOff>438150</xdr:colOff>
      <xdr:row>5</xdr:row>
      <xdr:rowOff>152401</xdr:rowOff>
    </xdr:to>
    <xdr:cxnSp macro="">
      <xdr:nvCxnSpPr>
        <xdr:cNvPr id="5" name="رابط كسهم مستقيم 4">
          <a:extLst>
            <a:ext uri="{FF2B5EF4-FFF2-40B4-BE49-F238E27FC236}">
              <a16:creationId xmlns:a16="http://schemas.microsoft.com/office/drawing/2014/main" id="{00000000-0008-0000-1D00-000005000000}"/>
            </a:ext>
          </a:extLst>
        </xdr:cNvPr>
        <xdr:cNvCxnSpPr/>
      </xdr:nvCxnSpPr>
      <xdr:spPr>
        <a:xfrm rot="5400000">
          <a:off x="11229037581" y="2147095"/>
          <a:ext cx="714375" cy="1588"/>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457197</xdr:colOff>
      <xdr:row>6</xdr:row>
      <xdr:rowOff>114300</xdr:rowOff>
    </xdr:from>
    <xdr:to>
      <xdr:col>15</xdr:col>
      <xdr:colOff>457199</xdr:colOff>
      <xdr:row>8</xdr:row>
      <xdr:rowOff>276224</xdr:rowOff>
    </xdr:to>
    <xdr:cxnSp macro="">
      <xdr:nvCxnSpPr>
        <xdr:cNvPr id="6" name="رابط كسهم مستقيم 5">
          <a:extLst>
            <a:ext uri="{FF2B5EF4-FFF2-40B4-BE49-F238E27FC236}">
              <a16:creationId xmlns:a16="http://schemas.microsoft.com/office/drawing/2014/main" id="{00000000-0008-0000-1D00-000006000000}"/>
            </a:ext>
          </a:extLst>
        </xdr:cNvPr>
        <xdr:cNvCxnSpPr/>
      </xdr:nvCxnSpPr>
      <xdr:spPr>
        <a:xfrm rot="16200000" flipV="1">
          <a:off x="11226522190" y="3290886"/>
          <a:ext cx="904874" cy="2"/>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447672</xdr:colOff>
      <xdr:row>6</xdr:row>
      <xdr:rowOff>123825</xdr:rowOff>
    </xdr:from>
    <xdr:to>
      <xdr:col>12</xdr:col>
      <xdr:colOff>447674</xdr:colOff>
      <xdr:row>8</xdr:row>
      <xdr:rowOff>285749</xdr:rowOff>
    </xdr:to>
    <xdr:cxnSp macro="">
      <xdr:nvCxnSpPr>
        <xdr:cNvPr id="7" name="رابط كسهم مستقيم 6">
          <a:extLst>
            <a:ext uri="{FF2B5EF4-FFF2-40B4-BE49-F238E27FC236}">
              <a16:creationId xmlns:a16="http://schemas.microsoft.com/office/drawing/2014/main" id="{00000000-0008-0000-1D00-000007000000}"/>
            </a:ext>
          </a:extLst>
        </xdr:cNvPr>
        <xdr:cNvCxnSpPr/>
      </xdr:nvCxnSpPr>
      <xdr:spPr>
        <a:xfrm rot="16200000" flipV="1">
          <a:off x="11228932015" y="3300411"/>
          <a:ext cx="904874" cy="2"/>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428622</xdr:colOff>
      <xdr:row>6</xdr:row>
      <xdr:rowOff>133350</xdr:rowOff>
    </xdr:from>
    <xdr:to>
      <xdr:col>9</xdr:col>
      <xdr:colOff>428624</xdr:colOff>
      <xdr:row>8</xdr:row>
      <xdr:rowOff>295274</xdr:rowOff>
    </xdr:to>
    <xdr:cxnSp macro="">
      <xdr:nvCxnSpPr>
        <xdr:cNvPr id="8" name="رابط كسهم مستقيم 7">
          <a:extLst>
            <a:ext uri="{FF2B5EF4-FFF2-40B4-BE49-F238E27FC236}">
              <a16:creationId xmlns:a16="http://schemas.microsoft.com/office/drawing/2014/main" id="{00000000-0008-0000-1D00-000008000000}"/>
            </a:ext>
          </a:extLst>
        </xdr:cNvPr>
        <xdr:cNvCxnSpPr/>
      </xdr:nvCxnSpPr>
      <xdr:spPr>
        <a:xfrm rot="16200000" flipV="1">
          <a:off x="11231294215" y="3309936"/>
          <a:ext cx="904874" cy="2"/>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419097</xdr:colOff>
      <xdr:row>9</xdr:row>
      <xdr:rowOff>114300</xdr:rowOff>
    </xdr:from>
    <xdr:to>
      <xdr:col>9</xdr:col>
      <xdr:colOff>419099</xdr:colOff>
      <xdr:row>11</xdr:row>
      <xdr:rowOff>276224</xdr:rowOff>
    </xdr:to>
    <xdr:cxnSp macro="">
      <xdr:nvCxnSpPr>
        <xdr:cNvPr id="9" name="رابط كسهم مستقيم 8">
          <a:extLst>
            <a:ext uri="{FF2B5EF4-FFF2-40B4-BE49-F238E27FC236}">
              <a16:creationId xmlns:a16="http://schemas.microsoft.com/office/drawing/2014/main" id="{00000000-0008-0000-1D00-000009000000}"/>
            </a:ext>
          </a:extLst>
        </xdr:cNvPr>
        <xdr:cNvCxnSpPr/>
      </xdr:nvCxnSpPr>
      <xdr:spPr>
        <a:xfrm rot="16200000" flipV="1">
          <a:off x="11231303740" y="4405311"/>
          <a:ext cx="904874" cy="2"/>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455612</xdr:colOff>
      <xdr:row>9</xdr:row>
      <xdr:rowOff>180976</xdr:rowOff>
    </xdr:from>
    <xdr:to>
      <xdr:col>12</xdr:col>
      <xdr:colOff>457200</xdr:colOff>
      <xdr:row>11</xdr:row>
      <xdr:rowOff>152401</xdr:rowOff>
    </xdr:to>
    <xdr:cxnSp macro="">
      <xdr:nvCxnSpPr>
        <xdr:cNvPr id="10" name="رابط كسهم مستقيم 9">
          <a:extLst>
            <a:ext uri="{FF2B5EF4-FFF2-40B4-BE49-F238E27FC236}">
              <a16:creationId xmlns:a16="http://schemas.microsoft.com/office/drawing/2014/main" id="{00000000-0008-0000-1D00-00000A000000}"/>
            </a:ext>
          </a:extLst>
        </xdr:cNvPr>
        <xdr:cNvCxnSpPr/>
      </xdr:nvCxnSpPr>
      <xdr:spPr>
        <a:xfrm rot="5400000">
          <a:off x="11229018531" y="4375945"/>
          <a:ext cx="714375" cy="1588"/>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455612</xdr:colOff>
      <xdr:row>9</xdr:row>
      <xdr:rowOff>133351</xdr:rowOff>
    </xdr:from>
    <xdr:to>
      <xdr:col>15</xdr:col>
      <xdr:colOff>457200</xdr:colOff>
      <xdr:row>11</xdr:row>
      <xdr:rowOff>104776</xdr:rowOff>
    </xdr:to>
    <xdr:cxnSp macro="">
      <xdr:nvCxnSpPr>
        <xdr:cNvPr id="11" name="رابط كسهم مستقيم 10">
          <a:extLst>
            <a:ext uri="{FF2B5EF4-FFF2-40B4-BE49-F238E27FC236}">
              <a16:creationId xmlns:a16="http://schemas.microsoft.com/office/drawing/2014/main" id="{00000000-0008-0000-1D00-00000B000000}"/>
            </a:ext>
          </a:extLst>
        </xdr:cNvPr>
        <xdr:cNvCxnSpPr/>
      </xdr:nvCxnSpPr>
      <xdr:spPr>
        <a:xfrm rot="5400000">
          <a:off x="11226618231" y="4328320"/>
          <a:ext cx="714375" cy="1588"/>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455612</xdr:colOff>
      <xdr:row>9</xdr:row>
      <xdr:rowOff>180976</xdr:rowOff>
    </xdr:from>
    <xdr:to>
      <xdr:col>17</xdr:col>
      <xdr:colOff>457200</xdr:colOff>
      <xdr:row>11</xdr:row>
      <xdr:rowOff>152401</xdr:rowOff>
    </xdr:to>
    <xdr:cxnSp macro="">
      <xdr:nvCxnSpPr>
        <xdr:cNvPr id="12" name="رابط كسهم مستقيم 11">
          <a:extLst>
            <a:ext uri="{FF2B5EF4-FFF2-40B4-BE49-F238E27FC236}">
              <a16:creationId xmlns:a16="http://schemas.microsoft.com/office/drawing/2014/main" id="{00000000-0008-0000-1D00-00000C000000}"/>
            </a:ext>
          </a:extLst>
        </xdr:cNvPr>
        <xdr:cNvCxnSpPr/>
      </xdr:nvCxnSpPr>
      <xdr:spPr>
        <a:xfrm rot="5400000">
          <a:off x="11224560831" y="4375945"/>
          <a:ext cx="714375" cy="1588"/>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457197</xdr:colOff>
      <xdr:row>12</xdr:row>
      <xdr:rowOff>114300</xdr:rowOff>
    </xdr:from>
    <xdr:to>
      <xdr:col>12</xdr:col>
      <xdr:colOff>457199</xdr:colOff>
      <xdr:row>14</xdr:row>
      <xdr:rowOff>276224</xdr:rowOff>
    </xdr:to>
    <xdr:cxnSp macro="">
      <xdr:nvCxnSpPr>
        <xdr:cNvPr id="13" name="رابط كسهم مستقيم 12">
          <a:extLst>
            <a:ext uri="{FF2B5EF4-FFF2-40B4-BE49-F238E27FC236}">
              <a16:creationId xmlns:a16="http://schemas.microsoft.com/office/drawing/2014/main" id="{00000000-0008-0000-1D00-00000D000000}"/>
            </a:ext>
          </a:extLst>
        </xdr:cNvPr>
        <xdr:cNvCxnSpPr/>
      </xdr:nvCxnSpPr>
      <xdr:spPr>
        <a:xfrm rot="16200000" flipV="1">
          <a:off x="11228922490" y="5519736"/>
          <a:ext cx="904874" cy="2"/>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485772</xdr:colOff>
      <xdr:row>12</xdr:row>
      <xdr:rowOff>95250</xdr:rowOff>
    </xdr:from>
    <xdr:to>
      <xdr:col>15</xdr:col>
      <xdr:colOff>485774</xdr:colOff>
      <xdr:row>14</xdr:row>
      <xdr:rowOff>257174</xdr:rowOff>
    </xdr:to>
    <xdr:cxnSp macro="">
      <xdr:nvCxnSpPr>
        <xdr:cNvPr id="14" name="رابط كسهم مستقيم 13">
          <a:extLst>
            <a:ext uri="{FF2B5EF4-FFF2-40B4-BE49-F238E27FC236}">
              <a16:creationId xmlns:a16="http://schemas.microsoft.com/office/drawing/2014/main" id="{00000000-0008-0000-1D00-00000E000000}"/>
            </a:ext>
          </a:extLst>
        </xdr:cNvPr>
        <xdr:cNvCxnSpPr/>
      </xdr:nvCxnSpPr>
      <xdr:spPr>
        <a:xfrm rot="16200000" flipV="1">
          <a:off x="11226493615" y="5500686"/>
          <a:ext cx="904874" cy="2"/>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485772</xdr:colOff>
      <xdr:row>12</xdr:row>
      <xdr:rowOff>123825</xdr:rowOff>
    </xdr:from>
    <xdr:to>
      <xdr:col>17</xdr:col>
      <xdr:colOff>485774</xdr:colOff>
      <xdr:row>14</xdr:row>
      <xdr:rowOff>285749</xdr:rowOff>
    </xdr:to>
    <xdr:cxnSp macro="">
      <xdr:nvCxnSpPr>
        <xdr:cNvPr id="15" name="رابط كسهم مستقيم 14">
          <a:extLst>
            <a:ext uri="{FF2B5EF4-FFF2-40B4-BE49-F238E27FC236}">
              <a16:creationId xmlns:a16="http://schemas.microsoft.com/office/drawing/2014/main" id="{00000000-0008-0000-1D00-00000F000000}"/>
            </a:ext>
          </a:extLst>
        </xdr:cNvPr>
        <xdr:cNvCxnSpPr/>
      </xdr:nvCxnSpPr>
      <xdr:spPr>
        <a:xfrm rot="16200000" flipV="1">
          <a:off x="11224436215" y="5529261"/>
          <a:ext cx="904874" cy="2"/>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409572</xdr:colOff>
      <xdr:row>12</xdr:row>
      <xdr:rowOff>104775</xdr:rowOff>
    </xdr:from>
    <xdr:to>
      <xdr:col>9</xdr:col>
      <xdr:colOff>409574</xdr:colOff>
      <xdr:row>14</xdr:row>
      <xdr:rowOff>266699</xdr:rowOff>
    </xdr:to>
    <xdr:cxnSp macro="">
      <xdr:nvCxnSpPr>
        <xdr:cNvPr id="16" name="رابط كسهم مستقيم 15">
          <a:extLst>
            <a:ext uri="{FF2B5EF4-FFF2-40B4-BE49-F238E27FC236}">
              <a16:creationId xmlns:a16="http://schemas.microsoft.com/office/drawing/2014/main" id="{00000000-0008-0000-1D00-000010000000}"/>
            </a:ext>
          </a:extLst>
        </xdr:cNvPr>
        <xdr:cNvCxnSpPr/>
      </xdr:nvCxnSpPr>
      <xdr:spPr>
        <a:xfrm rot="16200000" flipV="1">
          <a:off x="11231313265" y="5510211"/>
          <a:ext cx="904874" cy="2"/>
        </a:xfrm>
        <a:prstGeom prst="straightConnector1">
          <a:avLst/>
        </a:prstGeom>
        <a:ln w="381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254000</xdr:colOff>
      <xdr:row>0</xdr:row>
      <xdr:rowOff>0</xdr:rowOff>
    </xdr:from>
    <xdr:to>
      <xdr:col>17</xdr:col>
      <xdr:colOff>842962</xdr:colOff>
      <xdr:row>1</xdr:row>
      <xdr:rowOff>12700</xdr:rowOff>
    </xdr:to>
    <xdr:sp macro="" textlink="">
      <xdr:nvSpPr>
        <xdr:cNvPr id="17" name="مستطيل مستدير الزوايا 16">
          <a:hlinkClick xmlns:r="http://schemas.openxmlformats.org/officeDocument/2006/relationships" r:id="rId1" tooltip="الصفحة الرئيسية"/>
          <a:extLst>
            <a:ext uri="{FF2B5EF4-FFF2-40B4-BE49-F238E27FC236}">
              <a16:creationId xmlns:a16="http://schemas.microsoft.com/office/drawing/2014/main" id="{00000000-0008-0000-1D00-000011000000}"/>
            </a:ext>
          </a:extLst>
        </xdr:cNvPr>
        <xdr:cNvSpPr/>
      </xdr:nvSpPr>
      <xdr:spPr>
        <a:xfrm>
          <a:off x="11016000638" y="0"/>
          <a:ext cx="1782762" cy="508000"/>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6</xdr:col>
      <xdr:colOff>247647</xdr:colOff>
      <xdr:row>0</xdr:row>
      <xdr:rowOff>0</xdr:rowOff>
    </xdr:from>
    <xdr:to>
      <xdr:col>7</xdr:col>
      <xdr:colOff>942973</xdr:colOff>
      <xdr:row>1</xdr:row>
      <xdr:rowOff>92075</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00000-0008-0000-2100-000002000000}"/>
            </a:ext>
          </a:extLst>
        </xdr:cNvPr>
        <xdr:cNvSpPr/>
      </xdr:nvSpPr>
      <xdr:spPr>
        <a:xfrm>
          <a:off x="11022733227" y="0"/>
          <a:ext cx="1444626" cy="600075"/>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twoCellAnchor>
    <xdr:from>
      <xdr:col>16</xdr:col>
      <xdr:colOff>123822</xdr:colOff>
      <xdr:row>0</xdr:row>
      <xdr:rowOff>85725</xdr:rowOff>
    </xdr:from>
    <xdr:to>
      <xdr:col>17</xdr:col>
      <xdr:colOff>809623</xdr:colOff>
      <xdr:row>0</xdr:row>
      <xdr:rowOff>400051</xdr:rowOff>
    </xdr:to>
    <xdr:sp macro="" textlink="">
      <xdr:nvSpPr>
        <xdr:cNvPr id="3" name="مستطيل مستدير الزوايا 2">
          <a:hlinkClick xmlns:r="http://schemas.openxmlformats.org/officeDocument/2006/relationships" r:id="rId1" tooltip="الصفحة الرئيسية"/>
          <a:extLst>
            <a:ext uri="{FF2B5EF4-FFF2-40B4-BE49-F238E27FC236}">
              <a16:creationId xmlns:a16="http://schemas.microsoft.com/office/drawing/2014/main" id="{536CA72D-D4FF-154D-B013-3A5FD7D67DA9}"/>
            </a:ext>
          </a:extLst>
        </xdr:cNvPr>
        <xdr:cNvSpPr/>
      </xdr:nvSpPr>
      <xdr:spPr>
        <a:xfrm>
          <a:off x="11022866577" y="85725"/>
          <a:ext cx="1435101" cy="314326"/>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28576</xdr:rowOff>
    </xdr:from>
    <xdr:to>
      <xdr:col>6</xdr:col>
      <xdr:colOff>1727200</xdr:colOff>
      <xdr:row>0</xdr:row>
      <xdr:rowOff>485776</xdr:rowOff>
    </xdr:to>
    <xdr:sp macro="" textlink="">
      <xdr:nvSpPr>
        <xdr:cNvPr id="2" name="مستطيل مستدير الزوايا 1">
          <a:hlinkClick xmlns:r="http://schemas.openxmlformats.org/officeDocument/2006/relationships" r:id="rId1" tooltip="الصفحة الرئيسية"/>
          <a:extLst>
            <a:ext uri="{FF2B5EF4-FFF2-40B4-BE49-F238E27FC236}">
              <a16:creationId xmlns:a16="http://schemas.microsoft.com/office/drawing/2014/main" id="{00000000-0008-0000-2300-000002000000}"/>
            </a:ext>
          </a:extLst>
        </xdr:cNvPr>
        <xdr:cNvSpPr/>
      </xdr:nvSpPr>
      <xdr:spPr>
        <a:xfrm>
          <a:off x="11025339900" y="28576"/>
          <a:ext cx="1727200" cy="457200"/>
        </a:xfrm>
        <a:prstGeom prst="roundRect">
          <a:avLst/>
        </a:prstGeom>
        <a:scene3d>
          <a:camera prst="orthographicFront"/>
          <a:lightRig rig="threePt" dir="t"/>
        </a:scene3d>
        <a:sp3d>
          <a:bevelT w="114300" prst="artDeco"/>
        </a:sp3d>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rtl="1"/>
          <a:r>
            <a:rPr lang="ar-SA" sz="1600" b="1">
              <a:latin typeface="Simplified Arabic" pitchFamily="18" charset="-78"/>
              <a:cs typeface="Simplified Arabic" pitchFamily="18" charset="-78"/>
            </a:rPr>
            <a:t>الصفحة الرئيسية</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D1C7EA3-C670-2442-BB4B-D10332041599}">
  <we:reference id="wa200000095" version="2.1.1.0" store="ar-SA" storeType="OMEX"/>
  <we:alternateReferences>
    <we:reference id="wa200000095" version="2.1.1.0" store=""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_xldudf_SCOTT_DESC</we:customFunctionIds>
        <we:customFunctionIds>_xldudf_SCOTT_GL</we:customFunctionIds>
        <we:customFunctionIds>_xldudf_SCOTT_NGL</we:customFunctionIds>
        <we:customFunctionIds>_xldudf_SCOTT_COMRANGE</we:customFunctionIds>
        <we:customFunctionIds>_xldudf_SCOTT_CHART</we:customFunctionIds>
        <we:customFunctionIds>_xldudf_SCOTT_LIST</we:customFunctionIds>
        <we:customFunctionIds>_xldudf_SCOTT_GLMULTI</we:customFunctionIds>
        <we:customFunctionIds>_xldudf_SCOTT_BUDGET</we:customFunctionIds>
        <we:customFunctionIds>_xldudf_SCOTT_BUDGETR</we:customFunctionIds>
        <we:customFunctionIds>_xldudf_SCOTT_BUDGETMULTI</we:customFunctionIds>
        <we:customFunctionIds>_xldudf_SCOTT_TRACK</we:customFunctionIds>
        <we:customFunctionIds>_xldudf_SCOTT_TRACKR</we:customFunctionIds>
        <we:customFunctionIds>_xldudf_SCOTT_TRACKM</we:customFunctionIds>
        <we:customFunctionIds>_xldudf_SCOTT_GLMULTITRACK</we:customFunctionIds>
        <we:customFunctionIds>_xldudf_SCOTT_XNI</we:customFunctionIds>
        <we:customFunctionIds>_xldudf_SCOTT_XINVOICE</we:customFunctionIds>
        <we:customFunctionIds>_xldudf_SCOTT_XINVOICE_HEADER</we:customFunctionIds>
        <we:customFunctionIds>_xldudf_SCOTT_XINVOICE_SUM</we:customFunctionIds>
        <we:customFunctionIds>_xldudf_SCOTT_XBILL</we:customFunctionIds>
        <we:customFunctionIds>_xldudf_SCOTT_XBILL_HEADER</we:customFunctionIds>
        <we:customFunctionIds>_xldudf_SCOTT_XBILL_SUM</we:customFunctionIds>
        <we:customFunctionIds>_xldudf_SCOTT_XPAYMENT</we:customFunctionIds>
        <we:customFunctionIds>_xldudf_SCOTT_XGLTRX</we:customFunctionIds>
        <we:customFunctionIds>_xldudf_SCOTT_ACCTNAME</we:customFunctionIds>
        <we:customFunctionIds>_xldudf_SCOTT_SUMTRANSACTIONS</we:customFunctionIds>
        <we:customFunctionIds>_xldudf_SCOTT_RANGE</we:customFunctionIds>
        <we:customFunctionIds>_xldudf_SCOTT_XBUDGET</we:customFunctionIds>
        <we:customFunctionIds>_xldudf_SCOTT_QCLASS</we:customFunctionIds>
        <we:customFunctionIds>_xldudf_SCOTT_QCLASSR</we:customFunctionIds>
        <we:customFunctionIds>_xldudf_SCOTT_QDEPT</we:customFunctionIds>
        <we:customFunctionIds>_xldudf_SCOTT_QDEPTR</we:customFunctionIds>
        <we:customFunctionIds>_xldudf_SCOTT_QCLASS_DEPT</we:customFunctionIds>
        <we:customFunctionIds>_xldudf_SCOTT_QCUSTOMER</we:customFunctionIds>
        <we:customFunctionIds>_xldudf_SCOTT_QBUDGETALL</we:customFunctionIds>
        <we:customFunctionIds>_xldudf_SCOTT_QBUDGETALLR</we:customFunctionIds>
        <we:customFunctionIds>_xldudf_SCOTT_QBUDGETALLMULTI</we:customFunctionIds>
        <we:customFunctionIds>_xldudf_SCOTT_QVENDOR</we:customFunctionIds>
        <we:customFunctionIds>_xldudf_SCOTT_QALL</we:customFunctionIds>
        <we:customFunctionIds>_xldudf_SCOTT_QNI</we:customFunctionIds>
        <we:customFunctionIds>_xldudf_SCOTT_QBUDGET</we:customFunctionIds>
      </we:customFunctionIdList>
    </a:ext>
  </we:extLst>
</we:webextension>
</file>

<file path=xl/webextensions/webextension2.xml><?xml version="1.0" encoding="utf-8"?>
<we:webextension xmlns:we="http://schemas.microsoft.com/office/webextensions/webextension/2010/11" id="{7682EF44-58B5-A14E-85F0-56902FDDAB4F}">
  <we:reference id="wa200006253" version="1.6.0.0" store="ar-SA" storeType="OMEX"/>
  <we:alternateReferences>
    <we:reference id="wa200006253" version="1.6.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_xldudf_JS_ID4_ACRONYM</we:customFunctionIds>
        <we:customFunctionIds>_xldudf_JS_ID4_ADDNUMBERS</we:customFunctionIds>
        <we:customFunctionIds>_xldudf_JS_ID4_AGE</we:customFunctionIds>
        <we:customFunctionIds>_xldudf_JS_ID4_AVERAGEVISIBLEIFS</we:customFunctionIds>
        <we:customFunctionIds>_xldudf_JS_ID4_CONTAINS</we:customFunctionIds>
        <we:customFunctionIds>_xldudf_JS_ID4_COUNTBETWEEN</we:customFunctionIds>
        <we:customFunctionIds>_xldudf_JS_ID4_COUNTFORMAT</we:customFunctionIds>
        <we:customFunctionIds>_xldudf_JS_ID4_COUNTHIDDENSHEETST</we:customFunctionIds>
        <we:customFunctionIds>_xldudf_JS_ID4_COUNTSUBSTRING</we:customFunctionIds>
        <we:customFunctionIds>_xldudf_JS_ID4_COUNTVISIBLE</we:customFunctionIds>
        <we:customFunctionIds>_xldudf_JS_ID4_COUNTVISIBLEIFS</we:customFunctionIds>
        <we:customFunctionIds>_xldudf_JS_ID4_DATEDIFFERENCE</we:customFunctionIds>
        <we:customFunctionIds>_xldudf_JS_ID4_DATESERIAL</we:customFunctionIds>
        <we:customFunctionIds>_xldudf_JS_ID4_DAYSTO</we:customFunctionIds>
        <we:customFunctionIds>_xldudf_JS_ID4_DAYSTOCHRISTMAS</we:customFunctionIds>
        <we:customFunctionIds>_xldudf_JS_ID4_MAXVISIBLEIFS</we:customFunctionIds>
        <we:customFunctionIds>_xldudf_JS_ID4_MINVISIBLEIFS</we:customFunctionIds>
        <we:customFunctionIds>_xldudf_JS_ID4_REVERSE</we:customFunctionIds>
        <we:customFunctionIds>_xldudf_JS_ID4_SAMPLEDATA</we:customFunctionIds>
        <we:customFunctionIds>_xldudf_JS_ID4_SCRAMBLE</we:customFunctionIds>
        <we:customFunctionIds>_xldudf_JS_ID4_SPELLNUMBER</we:customFunctionIds>
        <we:customFunctionIds>_xldudf_JS_ID4_SPELLNUMBERREVERSE</we:customFunctionIds>
        <we:customFunctionIds>_xldudf_JS_ID4_SUMVISIBLE</we:customFunctionIds>
        <we:customFunctionIds>_xldudf_JS_ID4_SUMVISIBLEIFS</we:customFunctionIds>
        <we:customFunctionIds>_xldudf_JS_ID4_TESTING</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mailto:a.salem@altanmiyah.edu.sa" TargetMode="External"/><Relationship Id="rId13" Type="http://schemas.openxmlformats.org/officeDocument/2006/relationships/drawing" Target="../drawings/drawing4.xml"/><Relationship Id="rId3" Type="http://schemas.openxmlformats.org/officeDocument/2006/relationships/hyperlink" Target="mailto:M.Mitwali@altanmiyah.edu.sa" TargetMode="External"/><Relationship Id="rId7" Type="http://schemas.openxmlformats.org/officeDocument/2006/relationships/hyperlink" Target="mailto:4897@altanmiyah.edu.sa" TargetMode="External"/><Relationship Id="rId12" Type="http://schemas.openxmlformats.org/officeDocument/2006/relationships/printerSettings" Target="../printerSettings/printerSettings4.bin"/><Relationship Id="rId2" Type="http://schemas.openxmlformats.org/officeDocument/2006/relationships/hyperlink" Target="mailto:3068@ALTANMIYAH.EDU.SA" TargetMode="External"/><Relationship Id="rId1" Type="http://schemas.openxmlformats.org/officeDocument/2006/relationships/hyperlink" Target="mailto:m.abulfattah@altanmiyah.edu.sa" TargetMode="External"/><Relationship Id="rId6" Type="http://schemas.openxmlformats.org/officeDocument/2006/relationships/hyperlink" Target="mailto:h.joudah@altanmiyah.edu.sa" TargetMode="External"/><Relationship Id="rId11" Type="http://schemas.openxmlformats.org/officeDocument/2006/relationships/hyperlink" Target="mailto:3958@altanmiyah.edu.sa" TargetMode="External"/><Relationship Id="rId5" Type="http://schemas.openxmlformats.org/officeDocument/2006/relationships/hyperlink" Target="mailto:ameerjalal@altanmiyah.edu.sa" TargetMode="External"/><Relationship Id="rId10" Type="http://schemas.openxmlformats.org/officeDocument/2006/relationships/hyperlink" Target="mailto:3072@ALTANMIYAH.EDU.SA" TargetMode="External"/><Relationship Id="rId4" Type="http://schemas.openxmlformats.org/officeDocument/2006/relationships/hyperlink" Target="mailto:S.Salman@altanmiyah.edu.sa" TargetMode="External"/><Relationship Id="rId9" Type="http://schemas.openxmlformats.org/officeDocument/2006/relationships/hyperlink" Target="mailto:4734@altanmiyah.edu.sa"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4838@altanmiyah.edu.sa" TargetMode="External"/><Relationship Id="rId2" Type="http://schemas.openxmlformats.org/officeDocument/2006/relationships/hyperlink" Target="mailto:s.alajmi@altanmiyah.edu.sa" TargetMode="External"/><Relationship Id="rId1" Type="http://schemas.openxmlformats.org/officeDocument/2006/relationships/hyperlink" Target="mailto:atheer.alharbi@altanmiyah.edu.sa" TargetMode="Externa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hyperlink" Target="mailto:4613@altanmiyah.edu.sa"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mailto:y.hassan@altanmiyah.edu.sa" TargetMode="External"/><Relationship Id="rId1" Type="http://schemas.openxmlformats.org/officeDocument/2006/relationships/hyperlink" Target="mailto:M.Sanhabi@altanmiyah.edu.sa" TargetMode="Externa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mailto:saud.almutairi@altanmiyah.edu.sa" TargetMode="External"/><Relationship Id="rId7" Type="http://schemas.openxmlformats.org/officeDocument/2006/relationships/hyperlink" Target="mailto:24@altanmiyah.edu.sa" TargetMode="External"/><Relationship Id="rId2" Type="http://schemas.openxmlformats.org/officeDocument/2006/relationships/hyperlink" Target="mailto:A.Alsaadani@altanmiyah.edu.sa" TargetMode="External"/><Relationship Id="rId1" Type="http://schemas.openxmlformats.org/officeDocument/2006/relationships/hyperlink" Target="mailto:B.Deputy.Sec_Daq@Altanmiyah.edu.sa" TargetMode="External"/><Relationship Id="rId6" Type="http://schemas.openxmlformats.org/officeDocument/2006/relationships/hyperlink" Target="mailto:4033@altanmiyah.edu.sa" TargetMode="External"/><Relationship Id="rId5" Type="http://schemas.openxmlformats.org/officeDocument/2006/relationships/hyperlink" Target="mailto:Q.Zaqzaq@altanmiyah.edu.sa" TargetMode="External"/><Relationship Id="rId4" Type="http://schemas.openxmlformats.org/officeDocument/2006/relationships/hyperlink" Target="mailto:M.Mufreh@altanmiyah.edu.sa" TargetMode="External"/><Relationship Id="rId9"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N.alsajaa@altanmiyah.edu.sa" TargetMode="External"/><Relationship Id="rId1" Type="http://schemas.openxmlformats.org/officeDocument/2006/relationships/hyperlink" Target="mailto:Noura.alotaibi@altanmiyah.edu.sa"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AD52"/>
  <sheetViews>
    <sheetView rightToLeft="1" zoomScale="55" zoomScaleNormal="55" workbookViewId="0"/>
  </sheetViews>
  <sheetFormatPr defaultColWidth="9" defaultRowHeight="13.8"/>
  <cols>
    <col min="1" max="1" width="6.19921875" style="25" customWidth="1"/>
    <col min="2" max="2" width="9" style="25"/>
    <col min="3" max="3" width="9" style="25" customWidth="1"/>
    <col min="4" max="16384" width="9" style="25"/>
  </cols>
  <sheetData>
    <row r="2" spans="2:30" ht="14.4" thickBot="1"/>
    <row r="3" spans="2:30" ht="14.4" thickTop="1">
      <c r="B3" s="169"/>
      <c r="C3" s="170"/>
      <c r="D3" s="170"/>
      <c r="E3" s="170"/>
      <c r="F3" s="170"/>
      <c r="G3" s="170"/>
      <c r="H3" s="170"/>
      <c r="I3" s="170"/>
      <c r="J3" s="170"/>
      <c r="K3" s="170"/>
      <c r="L3" s="170"/>
      <c r="M3" s="170"/>
      <c r="N3" s="170"/>
      <c r="O3" s="170"/>
      <c r="P3" s="170"/>
      <c r="Q3" s="394"/>
      <c r="R3" s="394"/>
      <c r="S3" s="394"/>
      <c r="T3" s="394"/>
      <c r="U3" s="394"/>
      <c r="V3" s="394"/>
      <c r="W3" s="394"/>
      <c r="X3" s="394"/>
      <c r="Y3" s="394"/>
      <c r="Z3" s="394"/>
      <c r="AA3" s="394"/>
      <c r="AB3" s="394"/>
      <c r="AC3" s="394"/>
      <c r="AD3" s="395"/>
    </row>
    <row r="4" spans="2:30">
      <c r="B4" s="171"/>
      <c r="C4" s="172"/>
      <c r="D4" s="172"/>
      <c r="E4" s="172"/>
      <c r="F4" s="172"/>
      <c r="G4" s="172"/>
      <c r="H4" s="172"/>
      <c r="I4" s="172"/>
      <c r="J4" s="172"/>
      <c r="K4" s="172"/>
      <c r="L4" s="172"/>
      <c r="M4" s="172"/>
      <c r="N4" s="172"/>
      <c r="O4" s="172"/>
      <c r="P4" s="172"/>
      <c r="AD4" s="396"/>
    </row>
    <row r="5" spans="2:30">
      <c r="B5" s="171"/>
      <c r="C5" s="172"/>
      <c r="D5" s="172"/>
      <c r="E5" s="172"/>
      <c r="F5" s="172"/>
      <c r="G5" s="172"/>
      <c r="H5" s="172"/>
      <c r="I5" s="172"/>
      <c r="J5" s="172"/>
      <c r="K5" s="172"/>
      <c r="L5" s="172"/>
      <c r="M5" s="172"/>
      <c r="N5" s="172"/>
      <c r="O5" s="172"/>
      <c r="P5" s="172"/>
      <c r="AD5" s="396"/>
    </row>
    <row r="6" spans="2:30">
      <c r="B6" s="171"/>
      <c r="C6" s="172"/>
      <c r="D6" s="172"/>
      <c r="E6" s="172"/>
      <c r="F6" s="172"/>
      <c r="G6" s="172"/>
      <c r="H6" s="172"/>
      <c r="I6" s="172"/>
      <c r="J6" s="172"/>
      <c r="K6" s="172"/>
      <c r="L6" s="172"/>
      <c r="M6" s="172"/>
      <c r="N6" s="172"/>
      <c r="O6" s="172"/>
      <c r="P6" s="172"/>
      <c r="AD6" s="396"/>
    </row>
    <row r="7" spans="2:30">
      <c r="B7" s="171"/>
      <c r="C7" s="172"/>
      <c r="D7" s="172"/>
      <c r="E7" s="172"/>
      <c r="F7" s="172"/>
      <c r="G7" s="172"/>
      <c r="H7" s="172"/>
      <c r="I7" s="172"/>
      <c r="J7" s="172"/>
      <c r="K7" s="172"/>
      <c r="L7" s="172"/>
      <c r="M7" s="172"/>
      <c r="N7" s="172"/>
      <c r="O7" s="172"/>
      <c r="P7" s="172"/>
      <c r="AD7" s="396"/>
    </row>
    <row r="8" spans="2:30">
      <c r="B8" s="171"/>
      <c r="C8" s="172"/>
      <c r="D8" s="172"/>
      <c r="E8" s="172"/>
      <c r="F8" s="172"/>
      <c r="G8" s="172"/>
      <c r="H8" s="172"/>
      <c r="I8" s="172"/>
      <c r="J8" s="172"/>
      <c r="K8" s="172"/>
      <c r="L8" s="172"/>
      <c r="M8" s="172"/>
      <c r="N8" s="172"/>
      <c r="O8" s="172"/>
      <c r="P8" s="172"/>
      <c r="AD8" s="396"/>
    </row>
    <row r="9" spans="2:30">
      <c r="B9" s="171"/>
      <c r="C9" s="172"/>
      <c r="D9" s="172"/>
      <c r="E9" s="172"/>
      <c r="F9" s="172"/>
      <c r="G9" s="172"/>
      <c r="H9" s="172"/>
      <c r="I9" s="172"/>
      <c r="J9" s="172"/>
      <c r="K9" s="172"/>
      <c r="L9" s="172"/>
      <c r="M9" s="172"/>
      <c r="N9" s="172"/>
      <c r="O9" s="172"/>
      <c r="P9" s="172"/>
      <c r="AD9" s="396"/>
    </row>
    <row r="10" spans="2:30">
      <c r="B10" s="171"/>
      <c r="C10" s="172"/>
      <c r="D10" s="172"/>
      <c r="E10" s="172"/>
      <c r="F10" s="172"/>
      <c r="G10" s="172"/>
      <c r="H10" s="172"/>
      <c r="I10" s="172"/>
      <c r="J10" s="172"/>
      <c r="K10" s="172"/>
      <c r="L10" s="172"/>
      <c r="M10" s="172"/>
      <c r="N10" s="172"/>
      <c r="O10" s="172"/>
      <c r="P10" s="172"/>
      <c r="AD10" s="396"/>
    </row>
    <row r="11" spans="2:30">
      <c r="B11" s="171"/>
      <c r="C11" s="172"/>
      <c r="D11" s="172"/>
      <c r="E11" s="172"/>
      <c r="F11" s="172"/>
      <c r="G11" s="172"/>
      <c r="H11" s="172"/>
      <c r="I11" s="172"/>
      <c r="J11" s="172"/>
      <c r="K11" s="172"/>
      <c r="L11" s="172"/>
      <c r="M11" s="172"/>
      <c r="N11" s="172"/>
      <c r="O11" s="172"/>
      <c r="P11" s="172"/>
      <c r="AD11" s="396"/>
    </row>
    <row r="12" spans="2:30">
      <c r="B12" s="171"/>
      <c r="C12" s="172"/>
      <c r="D12" s="172"/>
      <c r="E12" s="172"/>
      <c r="F12" s="172"/>
      <c r="G12" s="172"/>
      <c r="H12" s="172"/>
      <c r="I12" s="172"/>
      <c r="J12" s="172"/>
      <c r="K12" s="172"/>
      <c r="L12" s="172"/>
      <c r="M12" s="172"/>
      <c r="N12" s="172"/>
      <c r="O12" s="172"/>
      <c r="P12" s="172"/>
      <c r="AD12" s="396"/>
    </row>
    <row r="13" spans="2:30">
      <c r="B13" s="171"/>
      <c r="C13" s="172"/>
      <c r="D13" s="172"/>
      <c r="E13" s="172"/>
      <c r="F13" s="172"/>
      <c r="G13" s="172"/>
      <c r="H13" s="172"/>
      <c r="I13" s="172"/>
      <c r="J13" s="172"/>
      <c r="K13" s="172"/>
      <c r="L13" s="172"/>
      <c r="M13" s="172"/>
      <c r="N13" s="172"/>
      <c r="O13" s="172"/>
      <c r="P13" s="172"/>
      <c r="AD13" s="396"/>
    </row>
    <row r="14" spans="2:30">
      <c r="B14" s="171"/>
      <c r="C14" s="172"/>
      <c r="D14" s="172"/>
      <c r="E14" s="172"/>
      <c r="F14" s="172"/>
      <c r="G14" s="172"/>
      <c r="H14" s="172"/>
      <c r="I14" s="172"/>
      <c r="J14" s="172"/>
      <c r="K14" s="172"/>
      <c r="L14" s="172"/>
      <c r="M14" s="172"/>
      <c r="N14" s="172"/>
      <c r="O14" s="172"/>
      <c r="P14" s="172"/>
      <c r="AD14" s="396"/>
    </row>
    <row r="15" spans="2:30">
      <c r="B15" s="171"/>
      <c r="C15" s="172"/>
      <c r="D15" s="172"/>
      <c r="E15" s="172"/>
      <c r="F15" s="172"/>
      <c r="G15" s="172"/>
      <c r="H15" s="172"/>
      <c r="I15" s="172"/>
      <c r="J15" s="172"/>
      <c r="K15" s="172"/>
      <c r="L15" s="172"/>
      <c r="M15" s="172"/>
      <c r="N15" s="172"/>
      <c r="O15" s="172"/>
      <c r="P15" s="172"/>
      <c r="AD15" s="396"/>
    </row>
    <row r="16" spans="2:30">
      <c r="B16" s="171"/>
      <c r="C16" s="172"/>
      <c r="D16" s="172"/>
      <c r="E16" s="172"/>
      <c r="F16" s="172"/>
      <c r="G16" s="172"/>
      <c r="H16" s="172"/>
      <c r="I16" s="172"/>
      <c r="J16" s="172"/>
      <c r="K16" s="172"/>
      <c r="L16" s="172"/>
      <c r="M16" s="172"/>
      <c r="N16" s="172"/>
      <c r="O16" s="172"/>
      <c r="P16" s="172"/>
      <c r="AD16" s="396"/>
    </row>
    <row r="17" spans="2:30">
      <c r="B17" s="171"/>
      <c r="C17" s="172"/>
      <c r="D17" s="172"/>
      <c r="E17" s="172"/>
      <c r="F17" s="172"/>
      <c r="G17" s="172"/>
      <c r="H17" s="172"/>
      <c r="I17" s="172"/>
      <c r="J17" s="172"/>
      <c r="K17" s="172"/>
      <c r="L17" s="172"/>
      <c r="M17" s="172"/>
      <c r="N17" s="172"/>
      <c r="O17" s="172"/>
      <c r="P17" s="172"/>
      <c r="AD17" s="396"/>
    </row>
    <row r="18" spans="2:30">
      <c r="B18" s="171"/>
      <c r="C18" s="172"/>
      <c r="D18" s="172"/>
      <c r="E18" s="172"/>
      <c r="F18" s="172"/>
      <c r="G18" s="172"/>
      <c r="H18" s="172"/>
      <c r="I18" s="172"/>
      <c r="J18" s="172"/>
      <c r="K18" s="172"/>
      <c r="L18" s="172"/>
      <c r="M18" s="172"/>
      <c r="N18" s="172"/>
      <c r="O18" s="172"/>
      <c r="P18" s="172"/>
      <c r="AD18" s="396"/>
    </row>
    <row r="19" spans="2:30">
      <c r="B19" s="171"/>
      <c r="C19" s="172"/>
      <c r="D19" s="172"/>
      <c r="E19" s="172"/>
      <c r="F19" s="172"/>
      <c r="G19" s="172"/>
      <c r="H19" s="172"/>
      <c r="I19" s="172"/>
      <c r="J19" s="172"/>
      <c r="K19" s="172"/>
      <c r="L19" s="172"/>
      <c r="M19" s="172"/>
      <c r="N19" s="172"/>
      <c r="O19" s="172"/>
      <c r="P19" s="172"/>
      <c r="AD19" s="396"/>
    </row>
    <row r="20" spans="2:30">
      <c r="B20" s="171"/>
      <c r="C20" s="172"/>
      <c r="D20" s="172"/>
      <c r="E20" s="172"/>
      <c r="F20" s="172"/>
      <c r="G20" s="172"/>
      <c r="H20" s="172"/>
      <c r="I20" s="172"/>
      <c r="J20" s="172"/>
      <c r="K20" s="172"/>
      <c r="L20" s="172"/>
      <c r="M20" s="172"/>
      <c r="N20" s="172"/>
      <c r="O20" s="172"/>
      <c r="P20" s="172"/>
      <c r="AD20" s="396"/>
    </row>
    <row r="21" spans="2:30">
      <c r="B21" s="171"/>
      <c r="C21" s="172"/>
      <c r="D21" s="172"/>
      <c r="E21" s="172"/>
      <c r="F21" s="172"/>
      <c r="G21" s="172"/>
      <c r="H21" s="172"/>
      <c r="I21" s="172"/>
      <c r="J21" s="172"/>
      <c r="K21" s="172"/>
      <c r="L21" s="172"/>
      <c r="M21" s="172"/>
      <c r="N21" s="172"/>
      <c r="O21" s="172"/>
      <c r="P21" s="172"/>
      <c r="AD21" s="396"/>
    </row>
    <row r="22" spans="2:30">
      <c r="B22" s="171"/>
      <c r="C22" s="172"/>
      <c r="D22" s="172"/>
      <c r="E22" s="172"/>
      <c r="F22" s="172"/>
      <c r="G22" s="172"/>
      <c r="H22" s="172"/>
      <c r="I22" s="172"/>
      <c r="J22" s="172"/>
      <c r="K22" s="172"/>
      <c r="L22" s="172"/>
      <c r="M22" s="172"/>
      <c r="N22" s="172"/>
      <c r="O22" s="172"/>
      <c r="P22" s="172"/>
      <c r="AD22" s="396"/>
    </row>
    <row r="23" spans="2:30">
      <c r="B23" s="171"/>
      <c r="C23" s="172"/>
      <c r="D23" s="172"/>
      <c r="E23" s="172"/>
      <c r="F23" s="172"/>
      <c r="G23" s="172"/>
      <c r="H23" s="172"/>
      <c r="I23" s="172"/>
      <c r="J23" s="172"/>
      <c r="K23" s="172"/>
      <c r="L23" s="172"/>
      <c r="M23" s="172"/>
      <c r="N23" s="172"/>
      <c r="O23" s="172"/>
      <c r="P23" s="172"/>
      <c r="AD23" s="396"/>
    </row>
    <row r="24" spans="2:30">
      <c r="B24" s="171"/>
      <c r="C24" s="172"/>
      <c r="D24" s="172"/>
      <c r="E24" s="172"/>
      <c r="F24" s="172"/>
      <c r="G24" s="172"/>
      <c r="H24" s="172"/>
      <c r="I24" s="172"/>
      <c r="J24" s="172"/>
      <c r="K24" s="172"/>
      <c r="L24" s="172"/>
      <c r="M24" s="172"/>
      <c r="N24" s="172"/>
      <c r="O24" s="172"/>
      <c r="P24" s="172"/>
      <c r="AD24" s="396"/>
    </row>
    <row r="25" spans="2:30">
      <c r="B25" s="171"/>
      <c r="C25" s="172"/>
      <c r="D25" s="172"/>
      <c r="E25" s="172"/>
      <c r="F25" s="172"/>
      <c r="G25" s="172"/>
      <c r="H25" s="172"/>
      <c r="I25" s="172"/>
      <c r="J25" s="172"/>
      <c r="K25" s="172"/>
      <c r="L25" s="172"/>
      <c r="M25" s="172"/>
      <c r="N25" s="172"/>
      <c r="O25" s="172"/>
      <c r="P25" s="172"/>
      <c r="AD25" s="396"/>
    </row>
    <row r="26" spans="2:30">
      <c r="B26" s="171"/>
      <c r="C26" s="172"/>
      <c r="D26" s="172"/>
      <c r="E26" s="172"/>
      <c r="F26" s="172"/>
      <c r="G26" s="172"/>
      <c r="H26" s="172"/>
      <c r="I26" s="172"/>
      <c r="J26" s="172"/>
      <c r="K26" s="172"/>
      <c r="L26" s="172"/>
      <c r="M26" s="172"/>
      <c r="N26" s="172"/>
      <c r="O26" s="172"/>
      <c r="P26" s="172"/>
      <c r="AD26" s="396"/>
    </row>
    <row r="27" spans="2:30">
      <c r="B27" s="171"/>
      <c r="C27" s="172"/>
      <c r="D27" s="172"/>
      <c r="E27" s="172"/>
      <c r="F27" s="172"/>
      <c r="G27" s="172"/>
      <c r="H27" s="172"/>
      <c r="I27" s="172"/>
      <c r="J27" s="172"/>
      <c r="K27" s="172"/>
      <c r="L27" s="172"/>
      <c r="M27" s="172"/>
      <c r="N27" s="172"/>
      <c r="O27" s="172"/>
      <c r="P27" s="172"/>
      <c r="AD27" s="396"/>
    </row>
    <row r="28" spans="2:30">
      <c r="B28" s="171"/>
      <c r="C28" s="172"/>
      <c r="D28" s="172"/>
      <c r="E28" s="172"/>
      <c r="F28" s="172"/>
      <c r="G28" s="172"/>
      <c r="H28" s="172"/>
      <c r="I28" s="172"/>
      <c r="J28" s="172"/>
      <c r="K28" s="172"/>
      <c r="L28" s="172"/>
      <c r="M28" s="172"/>
      <c r="N28" s="172"/>
      <c r="O28" s="172"/>
      <c r="P28" s="172"/>
      <c r="AD28" s="396"/>
    </row>
    <row r="29" spans="2:30">
      <c r="B29" s="171"/>
      <c r="C29" s="172"/>
      <c r="D29" s="172"/>
      <c r="E29" s="172"/>
      <c r="F29" s="172"/>
      <c r="G29" s="172"/>
      <c r="H29" s="172"/>
      <c r="I29" s="172"/>
      <c r="J29" s="172"/>
      <c r="K29" s="172"/>
      <c r="L29" s="172"/>
      <c r="M29" s="172"/>
      <c r="N29" s="172"/>
      <c r="O29" s="172"/>
      <c r="P29" s="172"/>
      <c r="AD29" s="396"/>
    </row>
    <row r="30" spans="2:30">
      <c r="B30" s="171"/>
      <c r="C30" s="172"/>
      <c r="D30" s="172"/>
      <c r="E30" s="172"/>
      <c r="F30" s="172"/>
      <c r="G30" s="172"/>
      <c r="H30" s="172"/>
      <c r="I30" s="172"/>
      <c r="J30" s="172"/>
      <c r="K30" s="172"/>
      <c r="L30" s="172"/>
      <c r="M30" s="172"/>
      <c r="N30" s="172"/>
      <c r="O30" s="172"/>
      <c r="P30" s="172"/>
      <c r="AD30" s="396"/>
    </row>
    <row r="31" spans="2:30">
      <c r="B31" s="171"/>
      <c r="C31" s="172"/>
      <c r="D31" s="172"/>
      <c r="E31" s="172"/>
      <c r="F31" s="172"/>
      <c r="G31" s="172"/>
      <c r="H31" s="172"/>
      <c r="I31" s="172"/>
      <c r="J31" s="172"/>
      <c r="K31" s="172"/>
      <c r="L31" s="172"/>
      <c r="M31" s="172"/>
      <c r="N31" s="172"/>
      <c r="O31" s="172"/>
      <c r="P31" s="172"/>
      <c r="AD31" s="396"/>
    </row>
    <row r="32" spans="2:30">
      <c r="B32" s="171"/>
      <c r="C32" s="172"/>
      <c r="D32" s="172"/>
      <c r="E32" s="172"/>
      <c r="F32" s="172"/>
      <c r="G32" s="172"/>
      <c r="H32" s="172"/>
      <c r="I32" s="172"/>
      <c r="J32" s="172"/>
      <c r="K32" s="172"/>
      <c r="L32" s="172"/>
      <c r="M32" s="172"/>
      <c r="N32" s="172"/>
      <c r="O32" s="172"/>
      <c r="P32" s="172"/>
      <c r="AD32" s="396"/>
    </row>
    <row r="33" spans="2:30">
      <c r="B33" s="171"/>
      <c r="C33" s="172"/>
      <c r="D33" s="172"/>
      <c r="E33" s="172"/>
      <c r="F33" s="172"/>
      <c r="G33" s="172"/>
      <c r="H33" s="172"/>
      <c r="I33" s="172"/>
      <c r="J33" s="172"/>
      <c r="K33" s="172"/>
      <c r="L33" s="172"/>
      <c r="M33" s="172"/>
      <c r="N33" s="172"/>
      <c r="O33" s="172"/>
      <c r="P33" s="172"/>
      <c r="AD33" s="396"/>
    </row>
    <row r="34" spans="2:30">
      <c r="B34" s="171"/>
      <c r="C34" s="172"/>
      <c r="D34" s="172"/>
      <c r="E34" s="172"/>
      <c r="F34" s="172"/>
      <c r="G34" s="172"/>
      <c r="H34" s="172"/>
      <c r="I34" s="172"/>
      <c r="J34" s="172"/>
      <c r="K34" s="172"/>
      <c r="L34" s="172"/>
      <c r="M34" s="172"/>
      <c r="N34" s="172"/>
      <c r="O34" s="172"/>
      <c r="P34" s="172"/>
      <c r="AD34" s="396"/>
    </row>
    <row r="35" spans="2:30">
      <c r="B35" s="171"/>
      <c r="C35" s="172"/>
      <c r="D35" s="172"/>
      <c r="E35" s="172"/>
      <c r="F35" s="172"/>
      <c r="G35" s="172"/>
      <c r="H35" s="172"/>
      <c r="I35" s="172"/>
      <c r="J35" s="172"/>
      <c r="K35" s="172"/>
      <c r="L35" s="172"/>
      <c r="M35" s="172"/>
      <c r="N35" s="172"/>
      <c r="O35" s="172"/>
      <c r="P35" s="172"/>
      <c r="AD35" s="396"/>
    </row>
    <row r="36" spans="2:30">
      <c r="B36" s="171"/>
      <c r="C36" s="172"/>
      <c r="D36" s="172"/>
      <c r="E36" s="172"/>
      <c r="F36" s="172"/>
      <c r="G36" s="172"/>
      <c r="H36" s="172"/>
      <c r="I36" s="172"/>
      <c r="J36" s="172"/>
      <c r="K36" s="172"/>
      <c r="L36" s="172"/>
      <c r="M36" s="172"/>
      <c r="N36" s="172"/>
      <c r="O36" s="172"/>
      <c r="P36" s="172"/>
      <c r="AD36" s="396"/>
    </row>
    <row r="37" spans="2:30">
      <c r="B37" s="171"/>
      <c r="C37" s="172"/>
      <c r="D37" s="172"/>
      <c r="E37" s="172"/>
      <c r="F37" s="172"/>
      <c r="G37" s="172"/>
      <c r="H37" s="172"/>
      <c r="I37" s="172"/>
      <c r="J37" s="172"/>
      <c r="K37" s="172"/>
      <c r="L37" s="172"/>
      <c r="M37" s="172"/>
      <c r="N37" s="172"/>
      <c r="O37" s="172"/>
      <c r="P37" s="172"/>
      <c r="AD37" s="396"/>
    </row>
    <row r="38" spans="2:30">
      <c r="B38" s="171"/>
      <c r="C38" s="172"/>
      <c r="D38" s="172"/>
      <c r="E38" s="172"/>
      <c r="F38" s="172"/>
      <c r="G38" s="172"/>
      <c r="H38" s="172"/>
      <c r="I38" s="172"/>
      <c r="J38" s="172"/>
      <c r="K38" s="172"/>
      <c r="L38" s="172"/>
      <c r="M38" s="172"/>
      <c r="N38" s="172"/>
      <c r="O38" s="172"/>
      <c r="P38" s="172"/>
      <c r="AD38" s="396"/>
    </row>
    <row r="39" spans="2:30">
      <c r="B39" s="171"/>
      <c r="C39" s="172"/>
      <c r="D39" s="172"/>
      <c r="E39" s="172"/>
      <c r="F39" s="172"/>
      <c r="G39" s="172"/>
      <c r="H39" s="172"/>
      <c r="I39" s="172"/>
      <c r="J39" s="172"/>
      <c r="K39" s="172"/>
      <c r="L39" s="172"/>
      <c r="M39" s="172"/>
      <c r="N39" s="172"/>
      <c r="O39" s="172"/>
      <c r="P39" s="172"/>
      <c r="AD39" s="396"/>
    </row>
    <row r="40" spans="2:30">
      <c r="B40" s="171"/>
      <c r="C40" s="172"/>
      <c r="D40" s="172"/>
      <c r="E40" s="172"/>
      <c r="F40" s="172"/>
      <c r="G40" s="172"/>
      <c r="H40" s="172"/>
      <c r="I40" s="172"/>
      <c r="J40" s="172"/>
      <c r="K40" s="172"/>
      <c r="L40" s="172"/>
      <c r="M40" s="172"/>
      <c r="N40" s="172"/>
      <c r="O40" s="172"/>
      <c r="P40" s="172"/>
      <c r="AD40" s="396"/>
    </row>
    <row r="41" spans="2:30">
      <c r="B41" s="171"/>
      <c r="C41" s="172"/>
      <c r="D41" s="172"/>
      <c r="E41" s="172"/>
      <c r="F41" s="172"/>
      <c r="G41" s="172"/>
      <c r="H41" s="172"/>
      <c r="I41" s="172"/>
      <c r="J41" s="172"/>
      <c r="K41" s="172"/>
      <c r="L41" s="172"/>
      <c r="M41" s="172"/>
      <c r="N41" s="172"/>
      <c r="O41" s="172"/>
      <c r="P41" s="172"/>
      <c r="AD41" s="396"/>
    </row>
    <row r="42" spans="2:30" ht="2.25" customHeight="1">
      <c r="B42" s="171"/>
      <c r="C42" s="172"/>
      <c r="D42" s="172"/>
      <c r="E42" s="172"/>
      <c r="F42" s="172"/>
      <c r="G42" s="172"/>
      <c r="H42" s="172"/>
      <c r="I42" s="172"/>
      <c r="J42" s="172"/>
      <c r="K42" s="172"/>
      <c r="L42" s="172"/>
      <c r="M42" s="172"/>
      <c r="N42" s="172"/>
      <c r="O42" s="172"/>
      <c r="P42" s="172"/>
      <c r="AD42" s="396"/>
    </row>
    <row r="43" spans="2:30">
      <c r="B43" s="171"/>
      <c r="C43" s="172"/>
      <c r="D43" s="172"/>
      <c r="E43" s="172"/>
      <c r="F43" s="172"/>
      <c r="G43" s="172"/>
      <c r="H43" s="172"/>
      <c r="I43" s="172"/>
      <c r="J43" s="172"/>
      <c r="K43" s="172"/>
      <c r="L43" s="172"/>
      <c r="M43" s="172"/>
      <c r="N43" s="172"/>
      <c r="O43" s="172"/>
      <c r="P43" s="172"/>
      <c r="AD43" s="396"/>
    </row>
    <row r="44" spans="2:30">
      <c r="B44" s="171"/>
      <c r="C44" s="172"/>
      <c r="D44" s="172"/>
      <c r="E44" s="172"/>
      <c r="F44" s="172"/>
      <c r="G44" s="172"/>
      <c r="H44" s="172"/>
      <c r="I44" s="172"/>
      <c r="J44" s="172"/>
      <c r="K44" s="172"/>
      <c r="L44" s="172"/>
      <c r="M44" s="172"/>
      <c r="N44" s="172"/>
      <c r="O44" s="172"/>
      <c r="P44" s="172"/>
      <c r="AD44" s="396"/>
    </row>
    <row r="45" spans="2:30">
      <c r="B45" s="171"/>
      <c r="C45" s="172"/>
      <c r="D45" s="172"/>
      <c r="E45" s="172"/>
      <c r="F45" s="172"/>
      <c r="G45" s="172"/>
      <c r="H45" s="172"/>
      <c r="I45" s="172"/>
      <c r="J45" s="172"/>
      <c r="K45" s="172"/>
      <c r="L45" s="172"/>
      <c r="M45" s="172"/>
      <c r="N45" s="172"/>
      <c r="O45" s="172"/>
      <c r="P45" s="172"/>
      <c r="AD45" s="396"/>
    </row>
    <row r="46" spans="2:30">
      <c r="B46" s="171"/>
      <c r="C46" s="172"/>
      <c r="D46" s="172"/>
      <c r="E46" s="172"/>
      <c r="F46" s="172"/>
      <c r="G46" s="172"/>
      <c r="H46" s="172"/>
      <c r="I46" s="172"/>
      <c r="J46" s="172"/>
      <c r="K46" s="172"/>
      <c r="L46" s="172"/>
      <c r="M46" s="172"/>
      <c r="N46" s="172"/>
      <c r="O46" s="172"/>
      <c r="P46" s="172"/>
      <c r="AD46" s="396"/>
    </row>
    <row r="47" spans="2:30">
      <c r="B47" s="171"/>
      <c r="C47" s="172"/>
      <c r="D47" s="172"/>
      <c r="E47" s="172"/>
      <c r="F47" s="172"/>
      <c r="G47" s="172"/>
      <c r="H47" s="172"/>
      <c r="I47" s="172"/>
      <c r="J47" s="172"/>
      <c r="K47" s="172"/>
      <c r="L47" s="172"/>
      <c r="M47" s="172"/>
      <c r="N47" s="172"/>
      <c r="O47" s="172"/>
      <c r="P47" s="172"/>
      <c r="AD47" s="396"/>
    </row>
    <row r="48" spans="2:30">
      <c r="B48" s="171"/>
      <c r="C48" s="172"/>
      <c r="D48" s="172"/>
      <c r="E48" s="172"/>
      <c r="F48" s="172"/>
      <c r="G48" s="172"/>
      <c r="H48" s="172"/>
      <c r="I48" s="172"/>
      <c r="J48" s="172"/>
      <c r="K48" s="172"/>
      <c r="L48" s="172"/>
      <c r="M48" s="172"/>
      <c r="N48" s="172"/>
      <c r="O48" s="172"/>
      <c r="P48" s="172"/>
      <c r="AD48" s="396"/>
    </row>
    <row r="49" spans="2:30">
      <c r="B49" s="171"/>
      <c r="C49" s="172"/>
      <c r="D49" s="172"/>
      <c r="E49" s="172"/>
      <c r="F49" s="172"/>
      <c r="G49" s="172"/>
      <c r="H49" s="172"/>
      <c r="I49" s="172"/>
      <c r="J49" s="172"/>
      <c r="K49" s="172"/>
      <c r="L49" s="172"/>
      <c r="M49" s="172"/>
      <c r="N49" s="172"/>
      <c r="O49" s="172"/>
      <c r="P49" s="172"/>
      <c r="AD49" s="396"/>
    </row>
    <row r="50" spans="2:30">
      <c r="B50" s="171"/>
      <c r="C50" s="172"/>
      <c r="D50" s="172"/>
      <c r="E50" s="172"/>
      <c r="F50" s="172"/>
      <c r="G50" s="172"/>
      <c r="H50" s="172"/>
      <c r="I50" s="172"/>
      <c r="J50" s="172"/>
      <c r="K50" s="172"/>
      <c r="L50" s="172"/>
      <c r="M50" s="172"/>
      <c r="N50" s="172"/>
      <c r="O50" s="172"/>
      <c r="P50" s="172"/>
      <c r="AD50" s="396"/>
    </row>
    <row r="51" spans="2:30" ht="14.4" thickBot="1">
      <c r="B51" s="173"/>
      <c r="C51" s="174"/>
      <c r="D51" s="174"/>
      <c r="E51" s="174"/>
      <c r="F51" s="174"/>
      <c r="G51" s="174"/>
      <c r="H51" s="174"/>
      <c r="I51" s="174"/>
      <c r="J51" s="174"/>
      <c r="K51" s="174"/>
      <c r="L51" s="174"/>
      <c r="M51" s="174"/>
      <c r="N51" s="174"/>
      <c r="O51" s="174"/>
      <c r="P51" s="174"/>
      <c r="Q51" s="397"/>
      <c r="R51" s="397"/>
      <c r="S51" s="397"/>
      <c r="T51" s="397"/>
      <c r="U51" s="397"/>
      <c r="V51" s="397"/>
      <c r="W51" s="397"/>
      <c r="X51" s="397"/>
      <c r="Y51" s="397"/>
      <c r="Z51" s="397"/>
      <c r="AA51" s="397"/>
      <c r="AB51" s="397"/>
      <c r="AC51" s="397"/>
      <c r="AD51" s="398"/>
    </row>
    <row r="52" spans="2:30" ht="14.4" thickTop="1"/>
  </sheetData>
  <printOptions horizontalCentered="1" verticalCentered="1"/>
  <pageMargins left="0.15748031496062992" right="0.15748031496062992" top="0.31496062992125984" bottom="0.31496062992125984" header="0.31496062992125984" footer="0.31496062992125984"/>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F10"/>
  <sheetViews>
    <sheetView rightToLeft="1" tabSelected="1" zoomScale="55" zoomScaleNormal="55" workbookViewId="0">
      <selection activeCell="I7" sqref="I7"/>
    </sheetView>
  </sheetViews>
  <sheetFormatPr defaultColWidth="8.796875" defaultRowHeight="13.8"/>
  <cols>
    <col min="1" max="1" width="21" customWidth="1"/>
    <col min="2" max="2" width="12.796875" customWidth="1"/>
    <col min="3" max="3" width="41.69921875" customWidth="1"/>
    <col min="4" max="5" width="30.69921875" customWidth="1"/>
    <col min="6" max="6" width="30.19921875" customWidth="1"/>
  </cols>
  <sheetData>
    <row r="1" spans="1:6" ht="129" customHeight="1" thickBot="1">
      <c r="A1" s="609" t="s">
        <v>40</v>
      </c>
      <c r="B1" s="609" t="s">
        <v>41</v>
      </c>
      <c r="C1" s="41" t="s">
        <v>160</v>
      </c>
      <c r="D1" s="20" t="s">
        <v>161</v>
      </c>
      <c r="E1" s="20" t="s">
        <v>1715</v>
      </c>
      <c r="F1" s="20" t="s">
        <v>162</v>
      </c>
    </row>
    <row r="2" spans="1:6" ht="32.25" customHeight="1">
      <c r="A2" s="610"/>
      <c r="B2" s="610"/>
      <c r="C2" s="21">
        <v>75</v>
      </c>
      <c r="D2" s="21" t="s">
        <v>1669</v>
      </c>
      <c r="E2" s="21">
        <v>100</v>
      </c>
      <c r="F2" s="21">
        <v>10</v>
      </c>
    </row>
    <row r="3" spans="1:6" ht="54.75" customHeight="1">
      <c r="A3" s="22" t="s">
        <v>2</v>
      </c>
      <c r="B3" s="74">
        <f>'إحصاء الطلاب'!I6</f>
        <v>43</v>
      </c>
      <c r="C3" s="77">
        <f>B3/0.5</f>
        <v>86</v>
      </c>
      <c r="D3" s="77">
        <f>B3/المعلمات!J35</f>
        <v>21.5</v>
      </c>
      <c r="E3" s="87">
        <f>B3/('الإحصاء العام للمجمع'!H8+'الإحصاء العام للمجمع'!J8)</f>
        <v>43</v>
      </c>
      <c r="F3" s="77">
        <f>B3/'الإحصاء العام للمجمع'!K8</f>
        <v>10.75</v>
      </c>
    </row>
    <row r="4" spans="1:6" ht="54.75" customHeight="1">
      <c r="A4" s="22" t="s">
        <v>42</v>
      </c>
      <c r="B4" s="74">
        <f>'إحصاء الطلاب'!I17</f>
        <v>112</v>
      </c>
      <c r="C4" s="77">
        <f>B4/('اداريات دار القلم'!F32)</f>
        <v>56</v>
      </c>
      <c r="D4" s="77">
        <f>B4/المعلمات!J36</f>
        <v>12.444444444444445</v>
      </c>
      <c r="E4" s="87">
        <f>B4/('الإحصاء العام للمجمع'!H10+'الإحصاء العام للمجمع'!J10)</f>
        <v>56</v>
      </c>
      <c r="F4" s="77">
        <f>B4/'الإحصاء العام للمجمع'!K10</f>
        <v>9.3333333333333339</v>
      </c>
    </row>
    <row r="5" spans="1:6" ht="54.75" customHeight="1">
      <c r="A5" s="22" t="s">
        <v>96</v>
      </c>
      <c r="B5" s="74">
        <f>'إحصاء الطلاب'!I24</f>
        <v>273</v>
      </c>
      <c r="C5" s="77">
        <f>B5/('اداريين دار القلم'!F26)</f>
        <v>91</v>
      </c>
      <c r="D5" s="77">
        <f>B5/(المعلمين!H66+المعلمين!I66)</f>
        <v>15.166666666666666</v>
      </c>
      <c r="E5" s="87">
        <f>B5/('الإحصاء العام للمجمع'!H9+'الإحصاء العام للمجمع'!J9)</f>
        <v>91</v>
      </c>
      <c r="F5" s="77">
        <f>B5/'الإحصاء العام للمجمع'!K9</f>
        <v>11.375</v>
      </c>
    </row>
    <row r="6" spans="1:6" ht="54.75" customHeight="1">
      <c r="A6" s="22" t="s">
        <v>43</v>
      </c>
      <c r="B6" s="74">
        <f>'إحصاء الطلاب'!I28</f>
        <v>204</v>
      </c>
      <c r="C6" s="77">
        <f>B6/('اداريين دار القلم'!F27)</f>
        <v>102</v>
      </c>
      <c r="D6" s="77">
        <f>B6/(المعلمين!H67+المعلمين!I67)</f>
        <v>17</v>
      </c>
      <c r="E6" s="87" t="e">
        <f>B6/('الإحصاء العام للمجمع'!H11+'الإحصاء العام للمجمع'!J11)</f>
        <v>#DIV/0!</v>
      </c>
      <c r="F6" s="77">
        <f>B6/'الإحصاء العام للمجمع'!K11</f>
        <v>13.6</v>
      </c>
    </row>
    <row r="7" spans="1:6" ht="54.75" customHeight="1">
      <c r="A7" s="22" t="s">
        <v>44</v>
      </c>
      <c r="B7" s="74">
        <f>'إحصاء الطلاب'!I32</f>
        <v>48</v>
      </c>
      <c r="C7" s="77">
        <f>B7/('اداريات دار القلم'!F33)</f>
        <v>24</v>
      </c>
      <c r="D7" s="77">
        <f>B7/(المعلمات!J37)</f>
        <v>12</v>
      </c>
      <c r="E7" s="87" t="e">
        <f>B7/('الإحصاء العام للمجمع'!H12+'الإحصاء العام للمجمع'!J12)</f>
        <v>#DIV/0!</v>
      </c>
      <c r="F7" s="77">
        <f>B7/'الإحصاء العام للمجمع'!K12</f>
        <v>9.6</v>
      </c>
    </row>
    <row r="8" spans="1:6" ht="54.75" customHeight="1">
      <c r="A8" s="22" t="s">
        <v>45</v>
      </c>
      <c r="B8" s="466">
        <f>('إحصاء الطلاب'!I43)-('إحصاء الطلاب'!I34+'إحصاء الطلاب'!I36)</f>
        <v>610</v>
      </c>
      <c r="C8" s="77">
        <f>B8/('اداريين دار القلم'!F28)</f>
        <v>101.66666666666667</v>
      </c>
      <c r="D8" s="77">
        <f>B8/(المعلمين!H68+المعلمين!I68)</f>
        <v>22.592592592592592</v>
      </c>
      <c r="E8" s="87">
        <f>B8/('الإحصاء العام للمجمع'!H13+'الإحصاء العام للمجمع'!J13)</f>
        <v>203.33333333333334</v>
      </c>
      <c r="F8" s="77">
        <f>B8/'الإحصاء العام للمجمع'!K13</f>
        <v>16.944444444444443</v>
      </c>
    </row>
    <row r="9" spans="1:6" ht="54.75" customHeight="1" thickBot="1">
      <c r="A9" s="23" t="s">
        <v>46</v>
      </c>
      <c r="B9" s="75">
        <f>'إحصاء الطلاب'!I53</f>
        <v>189</v>
      </c>
      <c r="C9" s="78">
        <f>B9/('اداريات دار القلم'!F34)</f>
        <v>47.25</v>
      </c>
      <c r="D9" s="77">
        <f>B9/(المعلمات!J38)</f>
        <v>18.899999999999999</v>
      </c>
      <c r="E9" s="87" t="e">
        <f>B9/('الإحصاء العام للمجمع'!H14+'الإحصاء العام للمجمع'!J14)</f>
        <v>#DIV/0!</v>
      </c>
      <c r="F9" s="77">
        <f>B9/'الإحصاء العام للمجمع'!K14</f>
        <v>12.6</v>
      </c>
    </row>
    <row r="10" spans="1:6" ht="54.75" customHeight="1" thickBot="1">
      <c r="A10" s="24" t="s">
        <v>1713</v>
      </c>
      <c r="B10" s="467">
        <f>SUM(B3:B9)</f>
        <v>1479</v>
      </c>
      <c r="C10" s="79">
        <f>B10/('اداريين دار القلم'!F29+'اداريات دار القلم'!F35)</f>
        <v>77.84210526315789</v>
      </c>
      <c r="D10" s="79">
        <f>B10/(المعلمين!H70+المعلمات!J39)</f>
        <v>18.036585365853657</v>
      </c>
      <c r="E10" s="86">
        <f>B10/'الإحصاء العام للمجمع'!F25</f>
        <v>147.9</v>
      </c>
      <c r="F10" s="80">
        <f>'الإحصاء العام للمجمع'!K25</f>
        <v>121</v>
      </c>
    </row>
  </sheetData>
  <mergeCells count="2">
    <mergeCell ref="A1:A2"/>
    <mergeCell ref="B1:B2"/>
  </mergeCells>
  <conditionalFormatting sqref="C3">
    <cfRule type="colorScale" priority="37">
      <colorScale>
        <cfvo type="num" val="74.900000000000006"/>
        <cfvo type="max"/>
        <color rgb="FFFF0000"/>
        <color rgb="FF65F52B"/>
      </colorScale>
    </cfRule>
  </conditionalFormatting>
  <conditionalFormatting sqref="C3:C10">
    <cfRule type="cellIs" dxfId="5" priority="45" operator="between">
      <formula>0</formula>
      <formula>74.99</formula>
    </cfRule>
    <cfRule type="cellIs" dxfId="4" priority="46" operator="between">
      <formula>75</formula>
      <formula>150</formula>
    </cfRule>
  </conditionalFormatting>
  <conditionalFormatting sqref="C4:C5">
    <cfRule type="colorScale" priority="36">
      <colorScale>
        <cfvo type="num" val="74.900000000000006"/>
        <cfvo type="max"/>
        <color rgb="FFFF0000"/>
        <color rgb="FF65F52B"/>
      </colorScale>
    </cfRule>
  </conditionalFormatting>
  <conditionalFormatting sqref="C6">
    <cfRule type="colorScale" priority="35">
      <colorScale>
        <cfvo type="num" val="74.900000000000006"/>
        <cfvo type="max"/>
        <color rgb="FFFF0000"/>
        <color rgb="FF65F52B"/>
      </colorScale>
    </cfRule>
  </conditionalFormatting>
  <conditionalFormatting sqref="C7">
    <cfRule type="colorScale" priority="34">
      <colorScale>
        <cfvo type="num" val="74.900000000000006"/>
        <cfvo type="max"/>
        <color rgb="FFFF0000"/>
        <color rgb="FF65F52B"/>
      </colorScale>
    </cfRule>
  </conditionalFormatting>
  <conditionalFormatting sqref="C8">
    <cfRule type="colorScale" priority="33">
      <colorScale>
        <cfvo type="num" val="74.900000000000006"/>
        <cfvo type="max"/>
        <color rgb="FFFF0000"/>
        <color rgb="FF65F52B"/>
      </colorScale>
    </cfRule>
  </conditionalFormatting>
  <conditionalFormatting sqref="C9">
    <cfRule type="colorScale" priority="32">
      <colorScale>
        <cfvo type="num" val="74.900000000000006"/>
        <cfvo type="max"/>
        <color rgb="FFFF0000"/>
        <color rgb="FF65F52B"/>
      </colorScale>
    </cfRule>
  </conditionalFormatting>
  <conditionalFormatting sqref="C10">
    <cfRule type="colorScale" priority="31">
      <colorScale>
        <cfvo type="num" val="74.900000000000006"/>
        <cfvo type="max"/>
        <color rgb="FFFF0000"/>
        <color rgb="FF65F52B"/>
      </colorScale>
    </cfRule>
  </conditionalFormatting>
  <conditionalFormatting sqref="D3">
    <cfRule type="colorScale" priority="30">
      <colorScale>
        <cfvo type="num" val="13.9"/>
        <cfvo type="max"/>
        <color rgb="FFFF0000"/>
        <color rgb="FF65F52B"/>
      </colorScale>
    </cfRule>
  </conditionalFormatting>
  <conditionalFormatting sqref="D3:D10">
    <cfRule type="cellIs" dxfId="3" priority="38" operator="greaterThan">
      <formula>12.5</formula>
    </cfRule>
    <cfRule type="cellIs" dxfId="2" priority="39" operator="between">
      <formula>0</formula>
      <formula>12.4</formula>
    </cfRule>
  </conditionalFormatting>
  <conditionalFormatting sqref="D4:D5">
    <cfRule type="colorScale" priority="29">
      <colorScale>
        <cfvo type="num" val="13.9"/>
        <cfvo type="max"/>
        <color rgb="FFFF0000"/>
        <color rgb="FF65F52B"/>
      </colorScale>
    </cfRule>
  </conditionalFormatting>
  <conditionalFormatting sqref="D6">
    <cfRule type="colorScale" priority="28">
      <colorScale>
        <cfvo type="num" val="13.9"/>
        <cfvo type="max"/>
        <color rgb="FFFF0000"/>
        <color rgb="FF65F52B"/>
      </colorScale>
    </cfRule>
  </conditionalFormatting>
  <conditionalFormatting sqref="D7">
    <cfRule type="colorScale" priority="27">
      <colorScale>
        <cfvo type="num" val="13.9"/>
        <cfvo type="max"/>
        <color rgb="FFFF0000"/>
        <color rgb="FF65F52B"/>
      </colorScale>
    </cfRule>
  </conditionalFormatting>
  <conditionalFormatting sqref="D8">
    <cfRule type="colorScale" priority="26">
      <colorScale>
        <cfvo type="num" val="13.9"/>
        <cfvo type="max"/>
        <color rgb="FFFF0000"/>
        <color rgb="FF65F52B"/>
      </colorScale>
    </cfRule>
  </conditionalFormatting>
  <conditionalFormatting sqref="D9">
    <cfRule type="colorScale" priority="25">
      <colorScale>
        <cfvo type="num" val="13.9"/>
        <cfvo type="max"/>
        <color rgb="FFFF0000"/>
        <color rgb="FF65F52B"/>
      </colorScale>
    </cfRule>
  </conditionalFormatting>
  <conditionalFormatting sqref="D10">
    <cfRule type="colorScale" priority="24">
      <colorScale>
        <cfvo type="num" val="13.9"/>
        <cfvo type="max"/>
        <color rgb="FFFF0000"/>
        <color rgb="FF65F52B"/>
      </colorScale>
    </cfRule>
  </conditionalFormatting>
  <conditionalFormatting sqref="E3">
    <cfRule type="colorScale" priority="7">
      <colorScale>
        <cfvo type="num" val="129.9"/>
        <cfvo type="max"/>
        <color rgb="FFFF0000"/>
        <color rgb="FF65F52B"/>
      </colorScale>
    </cfRule>
  </conditionalFormatting>
  <conditionalFormatting sqref="E4:E5">
    <cfRule type="colorScale" priority="6">
      <colorScale>
        <cfvo type="num" val="99"/>
        <cfvo type="max"/>
        <color rgb="FFFF0000"/>
        <color rgb="FF65F52B"/>
      </colorScale>
    </cfRule>
  </conditionalFormatting>
  <conditionalFormatting sqref="E6">
    <cfRule type="colorScale" priority="5">
      <colorScale>
        <cfvo type="num" val="129.9"/>
        <cfvo type="max"/>
        <color rgb="FFFF0000"/>
        <color rgb="FF65F52B"/>
      </colorScale>
    </cfRule>
  </conditionalFormatting>
  <conditionalFormatting sqref="E7">
    <cfRule type="colorScale" priority="4">
      <colorScale>
        <cfvo type="num" val="129.9"/>
        <cfvo type="max"/>
        <color rgb="FFFF0000"/>
        <color rgb="FF65F52B"/>
      </colorScale>
    </cfRule>
  </conditionalFormatting>
  <conditionalFormatting sqref="E8">
    <cfRule type="colorScale" priority="3">
      <colorScale>
        <cfvo type="num" val="99"/>
        <cfvo type="max"/>
        <color rgb="FFFF0000"/>
        <color rgb="FF65F52B"/>
      </colorScale>
    </cfRule>
  </conditionalFormatting>
  <conditionalFormatting sqref="E9">
    <cfRule type="colorScale" priority="2">
      <colorScale>
        <cfvo type="num" val="99"/>
        <cfvo type="max"/>
        <color rgb="FFFF0000"/>
        <color rgb="FF65F52B"/>
      </colorScale>
    </cfRule>
  </conditionalFormatting>
  <conditionalFormatting sqref="E10">
    <cfRule type="colorScale" priority="1">
      <colorScale>
        <cfvo type="min"/>
        <cfvo type="max"/>
        <color rgb="FFFF0000"/>
        <color rgb="FF65F52B"/>
      </colorScale>
    </cfRule>
  </conditionalFormatting>
  <conditionalFormatting sqref="F3">
    <cfRule type="colorScale" priority="23">
      <colorScale>
        <cfvo type="num" val="9.9"/>
        <cfvo type="max"/>
        <color rgb="FFFF0000"/>
        <color rgb="FF65F52B"/>
      </colorScale>
    </cfRule>
  </conditionalFormatting>
  <conditionalFormatting sqref="F3:F10">
    <cfRule type="cellIs" dxfId="1" priority="8" operator="between">
      <formula>0</formula>
      <formula>9.99</formula>
    </cfRule>
    <cfRule type="cellIs" dxfId="0" priority="9" operator="between">
      <formula>100</formula>
      <formula>150</formula>
    </cfRule>
  </conditionalFormatting>
  <conditionalFormatting sqref="F4:F5">
    <cfRule type="colorScale" priority="22">
      <colorScale>
        <cfvo type="num" val="9.9"/>
        <cfvo type="max"/>
        <color rgb="FFFF0000"/>
        <color rgb="FF65F52B"/>
      </colorScale>
    </cfRule>
  </conditionalFormatting>
  <conditionalFormatting sqref="F6">
    <cfRule type="colorScale" priority="21">
      <colorScale>
        <cfvo type="num" val="9.9"/>
        <cfvo type="max"/>
        <color rgb="FFFF0000"/>
        <color rgb="FF65F52B"/>
      </colorScale>
    </cfRule>
  </conditionalFormatting>
  <conditionalFormatting sqref="F7">
    <cfRule type="colorScale" priority="20">
      <colorScale>
        <cfvo type="num" val="9.9"/>
        <cfvo type="max"/>
        <color rgb="FFFF0000"/>
        <color rgb="FF65F52B"/>
      </colorScale>
    </cfRule>
  </conditionalFormatting>
  <conditionalFormatting sqref="F8">
    <cfRule type="colorScale" priority="19">
      <colorScale>
        <cfvo type="num" val="9.9"/>
        <cfvo type="max"/>
        <color rgb="FFFF0000"/>
        <color rgb="FF65F52B"/>
      </colorScale>
    </cfRule>
  </conditionalFormatting>
  <conditionalFormatting sqref="F9">
    <cfRule type="colorScale" priority="18">
      <colorScale>
        <cfvo type="num" val="9.9"/>
        <cfvo type="max"/>
        <color rgb="FFFF0000"/>
        <color rgb="FF65F52B"/>
      </colorScale>
    </cfRule>
    <cfRule type="colorScale" priority="49">
      <colorScale>
        <cfvo type="num" val="9.9"/>
        <cfvo type="max"/>
        <color rgb="FFFF0000"/>
        <color rgb="FF65F52B"/>
      </colorScale>
    </cfRule>
    <cfRule type="colorScale" priority="50">
      <colorScale>
        <cfvo type="num" val="9.9"/>
        <cfvo type="max"/>
        <color rgb="FFFF0000"/>
        <color rgb="FF65F52B"/>
      </colorScale>
    </cfRule>
  </conditionalFormatting>
  <printOptions horizontalCentered="1"/>
  <pageMargins left="0.15748031496062992" right="0.15748031496062992" top="0.39370078740157483" bottom="0.74803149606299213" header="0.31496062992125984" footer="0.31496062992125984"/>
  <pageSetup paperSize="9"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pageSetUpPr fitToPage="1"/>
  </sheetPr>
  <dimension ref="A1:N59"/>
  <sheetViews>
    <sheetView rightToLeft="1" topLeftCell="A32" workbookViewId="0">
      <selection activeCell="H28" sqref="H28"/>
    </sheetView>
  </sheetViews>
  <sheetFormatPr defaultColWidth="8.796875" defaultRowHeight="13.8"/>
  <cols>
    <col min="1" max="1" width="15.19921875" customWidth="1"/>
    <col min="2" max="2" width="12" customWidth="1"/>
    <col min="3" max="3" width="10.69921875" customWidth="1"/>
    <col min="4" max="4" width="9.796875" customWidth="1"/>
    <col min="5" max="5" width="9.69921875" customWidth="1"/>
    <col min="6" max="6" width="9.296875" customWidth="1"/>
    <col min="7" max="7" width="11.69921875" customWidth="1"/>
    <col min="8" max="8" width="11.296875" customWidth="1"/>
    <col min="9" max="9" width="12.19921875" customWidth="1"/>
    <col min="10" max="10" width="9.5" customWidth="1"/>
    <col min="11" max="11" width="9.296875" customWidth="1"/>
    <col min="12" max="12" width="9.19921875" customWidth="1"/>
    <col min="13" max="13" width="9.796875" customWidth="1"/>
  </cols>
  <sheetData>
    <row r="1" spans="1:14" ht="39" customHeight="1">
      <c r="A1" s="588" t="s">
        <v>39</v>
      </c>
      <c r="B1" s="589"/>
      <c r="C1" s="589"/>
      <c r="D1" s="589"/>
      <c r="E1" s="589"/>
      <c r="F1" s="589"/>
      <c r="G1" s="589"/>
      <c r="H1" s="589"/>
      <c r="I1" s="589"/>
      <c r="J1" s="589"/>
      <c r="K1" s="589"/>
      <c r="L1" s="589"/>
      <c r="M1" s="589"/>
      <c r="N1" s="590"/>
    </row>
    <row r="2" spans="1:14" ht="40.950000000000003" customHeight="1">
      <c r="A2" s="267" t="s">
        <v>0</v>
      </c>
      <c r="B2" s="267" t="s">
        <v>1</v>
      </c>
      <c r="C2" s="566" t="s">
        <v>10</v>
      </c>
      <c r="D2" s="567"/>
      <c r="E2" s="267" t="s">
        <v>11</v>
      </c>
      <c r="F2" s="269" t="s">
        <v>154</v>
      </c>
      <c r="G2" s="267" t="s">
        <v>12</v>
      </c>
      <c r="H2" s="267" t="s">
        <v>13</v>
      </c>
      <c r="I2" s="268" t="s">
        <v>35</v>
      </c>
      <c r="J2" s="270" t="s">
        <v>163</v>
      </c>
      <c r="K2" s="271" t="s">
        <v>164</v>
      </c>
      <c r="L2" s="272" t="s">
        <v>166</v>
      </c>
      <c r="M2" s="271" t="s">
        <v>165</v>
      </c>
      <c r="N2" s="273" t="s">
        <v>1404</v>
      </c>
    </row>
    <row r="3" spans="1:14" ht="27" customHeight="1">
      <c r="A3" s="562" t="s">
        <v>2</v>
      </c>
      <c r="B3" s="553" t="s">
        <v>3</v>
      </c>
      <c r="C3" s="532" t="s">
        <v>36</v>
      </c>
      <c r="D3" s="533"/>
      <c r="E3" s="221">
        <v>1</v>
      </c>
      <c r="F3" s="221"/>
      <c r="G3" s="221">
        <v>5</v>
      </c>
      <c r="H3" s="221">
        <v>1</v>
      </c>
      <c r="I3" s="274">
        <f>SUM(G3:H3)</f>
        <v>6</v>
      </c>
      <c r="J3" s="591"/>
      <c r="K3" s="592"/>
      <c r="L3" s="592"/>
      <c r="M3" s="593"/>
      <c r="N3" s="275">
        <f>(E3*25)-(F3+G3+H3)</f>
        <v>19</v>
      </c>
    </row>
    <row r="4" spans="1:14" ht="27" customHeight="1">
      <c r="A4" s="563"/>
      <c r="B4" s="554"/>
      <c r="C4" s="532" t="s">
        <v>37</v>
      </c>
      <c r="D4" s="533"/>
      <c r="E4" s="221">
        <v>1</v>
      </c>
      <c r="F4" s="221"/>
      <c r="G4" s="221">
        <v>16</v>
      </c>
      <c r="H4" s="221">
        <v>0</v>
      </c>
      <c r="I4" s="274">
        <f>SUM(G4:H4)</f>
        <v>16</v>
      </c>
      <c r="J4" s="594"/>
      <c r="K4" s="595"/>
      <c r="L4" s="595"/>
      <c r="M4" s="596"/>
      <c r="N4" s="275">
        <f t="shared" ref="N4:N52" si="0">(E4*25)-(F4+G4+H4)</f>
        <v>9</v>
      </c>
    </row>
    <row r="5" spans="1:14" ht="27" customHeight="1">
      <c r="A5" s="563"/>
      <c r="B5" s="555"/>
      <c r="C5" s="564" t="s">
        <v>38</v>
      </c>
      <c r="D5" s="565"/>
      <c r="E5" s="221">
        <v>1</v>
      </c>
      <c r="F5" s="221"/>
      <c r="G5" s="221">
        <v>18</v>
      </c>
      <c r="H5" s="221">
        <v>3</v>
      </c>
      <c r="I5" s="274">
        <f>SUM(G5:H5)</f>
        <v>21</v>
      </c>
      <c r="J5" s="597"/>
      <c r="K5" s="598"/>
      <c r="L5" s="598"/>
      <c r="M5" s="599"/>
      <c r="N5" s="275">
        <f t="shared" si="0"/>
        <v>4</v>
      </c>
    </row>
    <row r="6" spans="1:14" ht="28.95" customHeight="1">
      <c r="A6" s="608" t="s">
        <v>20</v>
      </c>
      <c r="B6" s="603"/>
      <c r="C6" s="603"/>
      <c r="D6" s="604"/>
      <c r="E6" s="276">
        <f>SUM(E3:E5)</f>
        <v>3</v>
      </c>
      <c r="F6" s="276">
        <f>SUM(F3:F5)</f>
        <v>0</v>
      </c>
      <c r="G6" s="276">
        <f>SUM(G3:G5)</f>
        <v>39</v>
      </c>
      <c r="H6" s="276">
        <f>SUM(H3:H5)</f>
        <v>4</v>
      </c>
      <c r="I6" s="277">
        <f>SUM(I3:I5)</f>
        <v>43</v>
      </c>
      <c r="J6" s="278">
        <v>0</v>
      </c>
      <c r="K6" s="279">
        <v>0</v>
      </c>
      <c r="L6" s="280">
        <v>2</v>
      </c>
      <c r="M6" s="278">
        <v>0</v>
      </c>
      <c r="N6" s="275">
        <f t="shared" si="0"/>
        <v>32</v>
      </c>
    </row>
    <row r="7" spans="1:14" ht="20.25" customHeight="1">
      <c r="A7" s="600" t="s">
        <v>4</v>
      </c>
      <c r="B7" s="553" t="s">
        <v>3</v>
      </c>
      <c r="C7" s="552" t="s">
        <v>14</v>
      </c>
      <c r="D7" s="281" t="s">
        <v>3</v>
      </c>
      <c r="E7" s="422">
        <v>1</v>
      </c>
      <c r="F7" s="422"/>
      <c r="G7" s="422">
        <v>11</v>
      </c>
      <c r="H7" s="422"/>
      <c r="I7" s="423">
        <f>SUM(G7:H8)</f>
        <v>11</v>
      </c>
      <c r="J7" s="534"/>
      <c r="K7" s="535"/>
      <c r="L7" s="535"/>
      <c r="M7" s="536"/>
      <c r="N7" s="275">
        <f t="shared" si="0"/>
        <v>14</v>
      </c>
    </row>
    <row r="8" spans="1:14" ht="20.25" customHeight="1">
      <c r="A8" s="601"/>
      <c r="B8" s="554"/>
      <c r="C8" s="552"/>
      <c r="D8" s="282" t="s">
        <v>5</v>
      </c>
      <c r="E8" s="422">
        <v>0</v>
      </c>
      <c r="F8" s="422"/>
      <c r="G8" s="422">
        <v>0</v>
      </c>
      <c r="H8" s="422">
        <v>0</v>
      </c>
      <c r="I8" s="441"/>
      <c r="J8" s="537"/>
      <c r="K8" s="538"/>
      <c r="L8" s="538"/>
      <c r="M8" s="539"/>
      <c r="N8" s="275">
        <f t="shared" si="0"/>
        <v>0</v>
      </c>
    </row>
    <row r="9" spans="1:14" ht="20.25" customHeight="1">
      <c r="A9" s="601"/>
      <c r="B9" s="554"/>
      <c r="C9" s="552" t="s">
        <v>15</v>
      </c>
      <c r="D9" s="281" t="s">
        <v>3</v>
      </c>
      <c r="E9" s="422">
        <v>1</v>
      </c>
      <c r="F9" s="422"/>
      <c r="G9" s="422">
        <v>9</v>
      </c>
      <c r="H9" s="422">
        <v>8</v>
      </c>
      <c r="I9" s="423">
        <f>SUM(G9:H10)</f>
        <v>17</v>
      </c>
      <c r="J9" s="537"/>
      <c r="K9" s="538"/>
      <c r="L9" s="538"/>
      <c r="M9" s="539"/>
      <c r="N9" s="275">
        <f t="shared" si="0"/>
        <v>8</v>
      </c>
    </row>
    <row r="10" spans="1:14" ht="20.25" customHeight="1">
      <c r="A10" s="601"/>
      <c r="B10" s="554"/>
      <c r="C10" s="552"/>
      <c r="D10" s="281" t="s">
        <v>5</v>
      </c>
      <c r="E10" s="422">
        <v>0</v>
      </c>
      <c r="F10" s="422"/>
      <c r="G10" s="422">
        <v>0</v>
      </c>
      <c r="H10" s="422">
        <v>0</v>
      </c>
      <c r="I10" s="441"/>
      <c r="J10" s="537"/>
      <c r="K10" s="538"/>
      <c r="L10" s="538"/>
      <c r="M10" s="539"/>
      <c r="N10" s="275">
        <f t="shared" si="0"/>
        <v>0</v>
      </c>
    </row>
    <row r="11" spans="1:14" ht="20.25" customHeight="1">
      <c r="A11" s="601"/>
      <c r="B11" s="554"/>
      <c r="C11" s="552" t="s">
        <v>16</v>
      </c>
      <c r="D11" s="283" t="s">
        <v>3</v>
      </c>
      <c r="E11" s="422">
        <v>1</v>
      </c>
      <c r="F11" s="422"/>
      <c r="G11" s="422">
        <v>24</v>
      </c>
      <c r="H11" s="422">
        <v>5</v>
      </c>
      <c r="I11" s="423">
        <f>SUM(G11:H12)</f>
        <v>37</v>
      </c>
      <c r="J11" s="537"/>
      <c r="K11" s="538"/>
      <c r="L11" s="538"/>
      <c r="M11" s="539"/>
      <c r="N11" s="275">
        <f t="shared" si="0"/>
        <v>-4</v>
      </c>
    </row>
    <row r="12" spans="1:14" ht="20.25" customHeight="1">
      <c r="A12" s="601"/>
      <c r="B12" s="554"/>
      <c r="C12" s="552"/>
      <c r="D12" s="281" t="s">
        <v>5</v>
      </c>
      <c r="E12" s="422">
        <v>1</v>
      </c>
      <c r="F12" s="422"/>
      <c r="G12" s="422">
        <v>6</v>
      </c>
      <c r="H12" s="422">
        <v>2</v>
      </c>
      <c r="I12" s="441"/>
      <c r="J12" s="537"/>
      <c r="K12" s="538"/>
      <c r="L12" s="538"/>
      <c r="M12" s="539"/>
      <c r="N12" s="275">
        <f t="shared" si="0"/>
        <v>17</v>
      </c>
    </row>
    <row r="13" spans="1:14" ht="20.25" customHeight="1">
      <c r="A13" s="601"/>
      <c r="B13" s="554"/>
      <c r="C13" s="556" t="s">
        <v>17</v>
      </c>
      <c r="D13" s="281" t="s">
        <v>3</v>
      </c>
      <c r="E13" s="422">
        <v>1</v>
      </c>
      <c r="F13" s="422"/>
      <c r="G13" s="422">
        <v>18</v>
      </c>
      <c r="H13" s="422">
        <v>4</v>
      </c>
      <c r="I13" s="423">
        <f>SUM(G13:H14)</f>
        <v>22</v>
      </c>
      <c r="J13" s="537"/>
      <c r="K13" s="538"/>
      <c r="L13" s="538"/>
      <c r="M13" s="539"/>
      <c r="N13" s="275">
        <f t="shared" si="0"/>
        <v>3</v>
      </c>
    </row>
    <row r="14" spans="1:14" ht="20.25" customHeight="1">
      <c r="A14" s="601"/>
      <c r="B14" s="554"/>
      <c r="C14" s="558"/>
      <c r="D14" s="282" t="s">
        <v>5</v>
      </c>
      <c r="E14" s="422">
        <v>0</v>
      </c>
      <c r="F14" s="422"/>
      <c r="G14" s="422">
        <v>0</v>
      </c>
      <c r="H14" s="422">
        <v>0</v>
      </c>
      <c r="I14" s="441"/>
      <c r="J14" s="537"/>
      <c r="K14" s="538"/>
      <c r="L14" s="538"/>
      <c r="M14" s="539"/>
      <c r="N14" s="275">
        <f t="shared" si="0"/>
        <v>0</v>
      </c>
    </row>
    <row r="15" spans="1:14" ht="20.25" customHeight="1">
      <c r="A15" s="601"/>
      <c r="B15" s="554"/>
      <c r="C15" s="532" t="s">
        <v>18</v>
      </c>
      <c r="D15" s="533"/>
      <c r="E15" s="422">
        <v>1</v>
      </c>
      <c r="F15" s="422"/>
      <c r="G15" s="422">
        <v>12</v>
      </c>
      <c r="H15" s="422">
        <v>2</v>
      </c>
      <c r="I15" s="424">
        <f>SUM(G15:H15)</f>
        <v>14</v>
      </c>
      <c r="J15" s="537"/>
      <c r="K15" s="538"/>
      <c r="L15" s="538"/>
      <c r="M15" s="539"/>
      <c r="N15" s="275">
        <f t="shared" si="0"/>
        <v>11</v>
      </c>
    </row>
    <row r="16" spans="1:14" ht="20.25" customHeight="1">
      <c r="A16" s="601"/>
      <c r="B16" s="555"/>
      <c r="C16" s="564" t="s">
        <v>19</v>
      </c>
      <c r="D16" s="565"/>
      <c r="E16" s="422">
        <v>1</v>
      </c>
      <c r="F16" s="422"/>
      <c r="G16" s="422">
        <v>9</v>
      </c>
      <c r="H16" s="422">
        <v>2</v>
      </c>
      <c r="I16" s="423">
        <f>SUM(G16:H16)</f>
        <v>11</v>
      </c>
      <c r="J16" s="540"/>
      <c r="K16" s="541"/>
      <c r="L16" s="541"/>
      <c r="M16" s="542"/>
      <c r="N16" s="275">
        <f t="shared" si="0"/>
        <v>14</v>
      </c>
    </row>
    <row r="17" spans="1:14" ht="28.05" customHeight="1">
      <c r="A17" s="601"/>
      <c r="B17" s="603" t="s">
        <v>530</v>
      </c>
      <c r="C17" s="603"/>
      <c r="D17" s="604"/>
      <c r="E17" s="426">
        <f>SUM(E7:E16)</f>
        <v>7</v>
      </c>
      <c r="F17" s="426">
        <f t="shared" ref="F17:H17" si="1">SUM(F7:F16)</f>
        <v>0</v>
      </c>
      <c r="G17" s="426">
        <f t="shared" si="1"/>
        <v>89</v>
      </c>
      <c r="H17" s="426">
        <f t="shared" si="1"/>
        <v>23</v>
      </c>
      <c r="I17" s="425">
        <f>SUM(I7:I16)</f>
        <v>112</v>
      </c>
      <c r="J17" s="279">
        <v>33</v>
      </c>
      <c r="K17" s="279">
        <f>E17*J17</f>
        <v>231</v>
      </c>
      <c r="L17" s="432">
        <v>10</v>
      </c>
      <c r="M17" s="434">
        <f>K17/L17</f>
        <v>23.1</v>
      </c>
      <c r="N17" s="275">
        <f t="shared" si="0"/>
        <v>63</v>
      </c>
    </row>
    <row r="18" spans="1:14" ht="28.05" customHeight="1">
      <c r="A18" s="601"/>
      <c r="B18" s="605" t="s">
        <v>5</v>
      </c>
      <c r="C18" s="532" t="s">
        <v>14</v>
      </c>
      <c r="D18" s="533"/>
      <c r="E18" s="422">
        <v>2</v>
      </c>
      <c r="F18" s="422">
        <v>0</v>
      </c>
      <c r="G18" s="422">
        <v>39</v>
      </c>
      <c r="H18" s="422">
        <v>5</v>
      </c>
      <c r="I18" s="427">
        <f>SUM(F18:H18)</f>
        <v>44</v>
      </c>
      <c r="J18" s="534"/>
      <c r="K18" s="535"/>
      <c r="L18" s="535"/>
      <c r="M18" s="536"/>
      <c r="N18" s="275">
        <f t="shared" si="0"/>
        <v>6</v>
      </c>
    </row>
    <row r="19" spans="1:14" ht="28.05" customHeight="1">
      <c r="A19" s="601"/>
      <c r="B19" s="606"/>
      <c r="C19" s="532" t="s">
        <v>15</v>
      </c>
      <c r="D19" s="533"/>
      <c r="E19" s="422">
        <v>2</v>
      </c>
      <c r="F19" s="422">
        <v>0</v>
      </c>
      <c r="G19" s="422">
        <v>40</v>
      </c>
      <c r="H19" s="422">
        <v>2</v>
      </c>
      <c r="I19" s="427">
        <f t="shared" ref="I19:I23" si="2">SUM(F19:H19)</f>
        <v>42</v>
      </c>
      <c r="J19" s="537"/>
      <c r="K19" s="538"/>
      <c r="L19" s="538"/>
      <c r="M19" s="539"/>
      <c r="N19" s="275">
        <f t="shared" si="0"/>
        <v>8</v>
      </c>
    </row>
    <row r="20" spans="1:14" ht="28.05" customHeight="1">
      <c r="A20" s="601"/>
      <c r="B20" s="606"/>
      <c r="C20" s="532" t="s">
        <v>16</v>
      </c>
      <c r="D20" s="533"/>
      <c r="E20" s="422">
        <v>2</v>
      </c>
      <c r="F20" s="422">
        <v>0</v>
      </c>
      <c r="G20" s="422">
        <v>33</v>
      </c>
      <c r="H20" s="422">
        <v>3</v>
      </c>
      <c r="I20" s="427">
        <f t="shared" si="2"/>
        <v>36</v>
      </c>
      <c r="J20" s="537"/>
      <c r="K20" s="538"/>
      <c r="L20" s="538"/>
      <c r="M20" s="539"/>
      <c r="N20" s="275">
        <f t="shared" si="0"/>
        <v>14</v>
      </c>
    </row>
    <row r="21" spans="1:14" ht="28.05" customHeight="1">
      <c r="A21" s="601"/>
      <c r="B21" s="606"/>
      <c r="C21" s="532" t="s">
        <v>17</v>
      </c>
      <c r="D21" s="533"/>
      <c r="E21" s="422">
        <v>3</v>
      </c>
      <c r="F21" s="422">
        <v>0</v>
      </c>
      <c r="G21" s="422">
        <v>52</v>
      </c>
      <c r="H21" s="422">
        <v>9</v>
      </c>
      <c r="I21" s="427">
        <f t="shared" si="2"/>
        <v>61</v>
      </c>
      <c r="J21" s="537"/>
      <c r="K21" s="538"/>
      <c r="L21" s="538"/>
      <c r="M21" s="539"/>
      <c r="N21" s="275">
        <f t="shared" si="0"/>
        <v>14</v>
      </c>
    </row>
    <row r="22" spans="1:14" ht="28.05" customHeight="1">
      <c r="A22" s="601"/>
      <c r="B22" s="606"/>
      <c r="C22" s="532" t="s">
        <v>18</v>
      </c>
      <c r="D22" s="533"/>
      <c r="E22" s="422">
        <v>2</v>
      </c>
      <c r="F22" s="422">
        <v>0</v>
      </c>
      <c r="G22" s="422">
        <v>47</v>
      </c>
      <c r="H22" s="422">
        <v>5</v>
      </c>
      <c r="I22" s="427">
        <f t="shared" si="2"/>
        <v>52</v>
      </c>
      <c r="J22" s="537"/>
      <c r="K22" s="538"/>
      <c r="L22" s="538"/>
      <c r="M22" s="539"/>
      <c r="N22" s="275">
        <f t="shared" si="0"/>
        <v>-2</v>
      </c>
    </row>
    <row r="23" spans="1:14" ht="28.05" customHeight="1">
      <c r="A23" s="601"/>
      <c r="B23" s="607"/>
      <c r="C23" s="532" t="s">
        <v>19</v>
      </c>
      <c r="D23" s="533"/>
      <c r="E23" s="422">
        <v>2</v>
      </c>
      <c r="F23" s="422">
        <v>0</v>
      </c>
      <c r="G23" s="422">
        <v>31</v>
      </c>
      <c r="H23" s="422">
        <v>7</v>
      </c>
      <c r="I23" s="427">
        <f t="shared" si="2"/>
        <v>38</v>
      </c>
      <c r="J23" s="540"/>
      <c r="K23" s="541"/>
      <c r="L23" s="541"/>
      <c r="M23" s="542"/>
      <c r="N23" s="275">
        <f t="shared" si="0"/>
        <v>12</v>
      </c>
    </row>
    <row r="24" spans="1:14" ht="30" customHeight="1">
      <c r="A24" s="602"/>
      <c r="B24" s="527" t="s">
        <v>531</v>
      </c>
      <c r="C24" s="527"/>
      <c r="D24" s="528"/>
      <c r="E24" s="426">
        <f>SUM(E18:E23)</f>
        <v>13</v>
      </c>
      <c r="F24" s="426">
        <f t="shared" ref="F24:H24" si="3">SUM(F18:F23)</f>
        <v>0</v>
      </c>
      <c r="G24" s="426">
        <f t="shared" si="3"/>
        <v>242</v>
      </c>
      <c r="H24" s="426">
        <f t="shared" si="3"/>
        <v>31</v>
      </c>
      <c r="I24" s="426">
        <f>SUM(I18:I23)</f>
        <v>273</v>
      </c>
      <c r="J24" s="279">
        <v>33</v>
      </c>
      <c r="K24" s="279">
        <f>E24*J24</f>
        <v>429</v>
      </c>
      <c r="L24" s="432">
        <v>18</v>
      </c>
      <c r="M24" s="434">
        <f>K24/L24</f>
        <v>23.833333333333332</v>
      </c>
      <c r="N24" s="275">
        <f t="shared" si="0"/>
        <v>52</v>
      </c>
    </row>
    <row r="25" spans="1:14" ht="25.95" customHeight="1">
      <c r="A25" s="559" t="s">
        <v>6</v>
      </c>
      <c r="B25" s="529" t="s">
        <v>5</v>
      </c>
      <c r="C25" s="532" t="s">
        <v>14</v>
      </c>
      <c r="D25" s="533"/>
      <c r="E25" s="422">
        <v>3</v>
      </c>
      <c r="F25" s="422">
        <v>0</v>
      </c>
      <c r="G25" s="422">
        <v>61</v>
      </c>
      <c r="H25" s="422">
        <v>8</v>
      </c>
      <c r="I25" s="274">
        <f>SUM(F25:H25)</f>
        <v>69</v>
      </c>
      <c r="J25" s="534"/>
      <c r="K25" s="535"/>
      <c r="L25" s="535"/>
      <c r="M25" s="536"/>
      <c r="N25" s="275">
        <f t="shared" si="0"/>
        <v>6</v>
      </c>
    </row>
    <row r="26" spans="1:14" ht="25.95" customHeight="1">
      <c r="A26" s="560"/>
      <c r="B26" s="530"/>
      <c r="C26" s="532" t="s">
        <v>15</v>
      </c>
      <c r="D26" s="533"/>
      <c r="E26" s="422">
        <v>3</v>
      </c>
      <c r="F26" s="422">
        <v>0</v>
      </c>
      <c r="G26" s="422">
        <v>61</v>
      </c>
      <c r="H26" s="422">
        <v>6</v>
      </c>
      <c r="I26" s="274">
        <f t="shared" ref="I26:I27" si="4">SUM(F26:H26)</f>
        <v>67</v>
      </c>
      <c r="J26" s="537"/>
      <c r="K26" s="538"/>
      <c r="L26" s="538"/>
      <c r="M26" s="539"/>
      <c r="N26" s="275">
        <f t="shared" si="0"/>
        <v>8</v>
      </c>
    </row>
    <row r="27" spans="1:14" ht="25.95" customHeight="1">
      <c r="A27" s="560"/>
      <c r="B27" s="531"/>
      <c r="C27" s="532" t="s">
        <v>16</v>
      </c>
      <c r="D27" s="533"/>
      <c r="E27" s="422">
        <v>3</v>
      </c>
      <c r="F27" s="422">
        <v>0</v>
      </c>
      <c r="G27" s="422">
        <v>56</v>
      </c>
      <c r="H27" s="422">
        <v>12</v>
      </c>
      <c r="I27" s="274">
        <f t="shared" si="4"/>
        <v>68</v>
      </c>
      <c r="J27" s="540"/>
      <c r="K27" s="541"/>
      <c r="L27" s="541"/>
      <c r="M27" s="542"/>
      <c r="N27" s="275">
        <f t="shared" si="0"/>
        <v>7</v>
      </c>
    </row>
    <row r="28" spans="1:14" ht="28.05" customHeight="1">
      <c r="A28" s="560"/>
      <c r="B28" s="526" t="s">
        <v>21</v>
      </c>
      <c r="C28" s="527"/>
      <c r="D28" s="528"/>
      <c r="E28" s="276">
        <f>SUM(E25:E27)</f>
        <v>9</v>
      </c>
      <c r="F28" s="276">
        <f t="shared" ref="F28:H28" si="5">SUM(F25:F27)</f>
        <v>0</v>
      </c>
      <c r="G28" s="276">
        <f t="shared" si="5"/>
        <v>178</v>
      </c>
      <c r="H28" s="276">
        <f t="shared" si="5"/>
        <v>26</v>
      </c>
      <c r="I28" s="277">
        <f>SUM(I25:I27)</f>
        <v>204</v>
      </c>
      <c r="J28" s="278">
        <v>35</v>
      </c>
      <c r="K28" s="279">
        <f>E28*J28</f>
        <v>315</v>
      </c>
      <c r="L28" s="433">
        <v>13</v>
      </c>
      <c r="M28" s="434">
        <f>K28/L28</f>
        <v>24.23076923076923</v>
      </c>
      <c r="N28" s="275">
        <f t="shared" si="0"/>
        <v>21</v>
      </c>
    </row>
    <row r="29" spans="1:14" ht="25.95" customHeight="1">
      <c r="A29" s="560"/>
      <c r="B29" s="553" t="s">
        <v>3</v>
      </c>
      <c r="C29" s="532" t="s">
        <v>14</v>
      </c>
      <c r="D29" s="533"/>
      <c r="E29" s="422">
        <v>1</v>
      </c>
      <c r="F29" s="422"/>
      <c r="G29" s="422">
        <v>10</v>
      </c>
      <c r="H29" s="422">
        <v>4</v>
      </c>
      <c r="I29" s="424">
        <f>SUM(F29:H29)</f>
        <v>14</v>
      </c>
      <c r="J29" s="543"/>
      <c r="K29" s="544"/>
      <c r="L29" s="544"/>
      <c r="M29" s="545"/>
      <c r="N29" s="275">
        <f t="shared" si="0"/>
        <v>11</v>
      </c>
    </row>
    <row r="30" spans="1:14" ht="25.95" customHeight="1">
      <c r="A30" s="560"/>
      <c r="B30" s="554"/>
      <c r="C30" s="532" t="s">
        <v>15</v>
      </c>
      <c r="D30" s="533"/>
      <c r="E30" s="422">
        <v>1</v>
      </c>
      <c r="F30" s="422"/>
      <c r="G30" s="422">
        <v>19</v>
      </c>
      <c r="H30" s="422">
        <v>0</v>
      </c>
      <c r="I30" s="424">
        <f t="shared" ref="I30:I31" si="6">SUM(F30:H30)</f>
        <v>19</v>
      </c>
      <c r="J30" s="546"/>
      <c r="K30" s="547"/>
      <c r="L30" s="547"/>
      <c r="M30" s="548"/>
      <c r="N30" s="275">
        <f t="shared" si="0"/>
        <v>6</v>
      </c>
    </row>
    <row r="31" spans="1:14" ht="25.95" customHeight="1">
      <c r="A31" s="560"/>
      <c r="B31" s="555"/>
      <c r="C31" s="532" t="s">
        <v>16</v>
      </c>
      <c r="D31" s="533"/>
      <c r="E31" s="422">
        <v>1</v>
      </c>
      <c r="F31" s="422"/>
      <c r="G31" s="422">
        <v>9</v>
      </c>
      <c r="H31" s="422">
        <v>6</v>
      </c>
      <c r="I31" s="424">
        <f t="shared" si="6"/>
        <v>15</v>
      </c>
      <c r="J31" s="549"/>
      <c r="K31" s="550"/>
      <c r="L31" s="550"/>
      <c r="M31" s="551"/>
      <c r="N31" s="275">
        <f t="shared" si="0"/>
        <v>10</v>
      </c>
    </row>
    <row r="32" spans="1:14" ht="30" customHeight="1">
      <c r="A32" s="561"/>
      <c r="B32" s="526" t="s">
        <v>22</v>
      </c>
      <c r="C32" s="527"/>
      <c r="D32" s="528"/>
      <c r="E32" s="426">
        <f>SUM(E29:E31)</f>
        <v>3</v>
      </c>
      <c r="F32" s="426">
        <f t="shared" ref="F32:H32" si="7">SUM(F29:F31)</f>
        <v>0</v>
      </c>
      <c r="G32" s="426">
        <f t="shared" si="7"/>
        <v>38</v>
      </c>
      <c r="H32" s="426">
        <f t="shared" si="7"/>
        <v>10</v>
      </c>
      <c r="I32" s="277">
        <f>SUM(I29:I31)</f>
        <v>48</v>
      </c>
      <c r="J32" s="278">
        <v>35</v>
      </c>
      <c r="K32" s="278">
        <f>E32*J32</f>
        <v>105</v>
      </c>
      <c r="L32" s="280">
        <v>4</v>
      </c>
      <c r="M32" s="434">
        <f>K32/L32</f>
        <v>26.25</v>
      </c>
      <c r="N32" s="275">
        <f t="shared" si="0"/>
        <v>27</v>
      </c>
    </row>
    <row r="33" spans="1:14" ht="25.05" customHeight="1">
      <c r="A33" s="576" t="s">
        <v>7</v>
      </c>
      <c r="B33" s="529" t="s">
        <v>5</v>
      </c>
      <c r="C33" s="552" t="s">
        <v>14</v>
      </c>
      <c r="D33" s="421" t="s">
        <v>1714</v>
      </c>
      <c r="E33" s="422">
        <v>6</v>
      </c>
      <c r="F33" s="422">
        <v>0</v>
      </c>
      <c r="G33" s="422">
        <v>133</v>
      </c>
      <c r="H33" s="422">
        <v>37</v>
      </c>
      <c r="I33" s="424">
        <f>SUM(F33:H33)</f>
        <v>170</v>
      </c>
      <c r="J33" s="523">
        <f>I33+I34</f>
        <v>203</v>
      </c>
      <c r="K33" s="579"/>
      <c r="L33" s="580"/>
      <c r="M33" s="581"/>
      <c r="N33" s="275">
        <f t="shared" si="0"/>
        <v>-20</v>
      </c>
    </row>
    <row r="34" spans="1:14" ht="25.05" customHeight="1">
      <c r="A34" s="577"/>
      <c r="B34" s="530"/>
      <c r="C34" s="552"/>
      <c r="D34" s="421" t="s">
        <v>1650</v>
      </c>
      <c r="E34" s="422">
        <v>2</v>
      </c>
      <c r="F34" s="422">
        <v>0</v>
      </c>
      <c r="G34" s="422">
        <v>33</v>
      </c>
      <c r="H34" s="422">
        <v>0</v>
      </c>
      <c r="I34" s="424">
        <f>SUM(F34:H34)</f>
        <v>33</v>
      </c>
      <c r="J34" s="525"/>
      <c r="K34" s="582"/>
      <c r="L34" s="583"/>
      <c r="M34" s="584"/>
      <c r="N34" s="275">
        <f t="shared" si="0"/>
        <v>17</v>
      </c>
    </row>
    <row r="35" spans="1:14" ht="25.05" customHeight="1">
      <c r="A35" s="577"/>
      <c r="B35" s="530"/>
      <c r="C35" s="556" t="s">
        <v>15</v>
      </c>
      <c r="D35" s="281" t="s">
        <v>322</v>
      </c>
      <c r="E35" s="422">
        <v>7</v>
      </c>
      <c r="F35" s="422">
        <v>0</v>
      </c>
      <c r="G35" s="422">
        <v>176</v>
      </c>
      <c r="H35" s="422">
        <v>27</v>
      </c>
      <c r="I35" s="424">
        <f t="shared" ref="I35:I38" si="8">SUM(F35:H35)</f>
        <v>203</v>
      </c>
      <c r="J35" s="523">
        <f>I35+I36+I37+I38</f>
        <v>224</v>
      </c>
      <c r="K35" s="582"/>
      <c r="L35" s="583"/>
      <c r="M35" s="584"/>
      <c r="N35" s="275">
        <f t="shared" si="0"/>
        <v>-28</v>
      </c>
    </row>
    <row r="36" spans="1:14" ht="25.05" customHeight="1">
      <c r="A36" s="577"/>
      <c r="B36" s="530"/>
      <c r="C36" s="557"/>
      <c r="D36" s="281" t="s">
        <v>1650</v>
      </c>
      <c r="E36" s="422">
        <v>1</v>
      </c>
      <c r="F36" s="422">
        <v>0</v>
      </c>
      <c r="G36" s="422">
        <v>21</v>
      </c>
      <c r="H36" s="422">
        <v>0</v>
      </c>
      <c r="I36" s="424">
        <f t="shared" si="8"/>
        <v>21</v>
      </c>
      <c r="J36" s="524"/>
      <c r="K36" s="582"/>
      <c r="L36" s="583"/>
      <c r="M36" s="584"/>
      <c r="N36" s="275">
        <f t="shared" si="0"/>
        <v>4</v>
      </c>
    </row>
    <row r="37" spans="1:14" ht="25.05" customHeight="1">
      <c r="A37" s="577"/>
      <c r="B37" s="530"/>
      <c r="C37" s="557"/>
      <c r="D37" s="281" t="s">
        <v>323</v>
      </c>
      <c r="E37" s="422"/>
      <c r="F37" s="422"/>
      <c r="G37" s="422"/>
      <c r="H37" s="422"/>
      <c r="I37" s="424">
        <f t="shared" si="8"/>
        <v>0</v>
      </c>
      <c r="J37" s="524"/>
      <c r="K37" s="582"/>
      <c r="L37" s="583"/>
      <c r="M37" s="584"/>
      <c r="N37" s="275">
        <f t="shared" si="0"/>
        <v>0</v>
      </c>
    </row>
    <row r="38" spans="1:14" ht="25.05" customHeight="1">
      <c r="A38" s="577"/>
      <c r="B38" s="530"/>
      <c r="C38" s="558"/>
      <c r="D38" s="281" t="s">
        <v>324</v>
      </c>
      <c r="E38" s="422"/>
      <c r="F38" s="422"/>
      <c r="G38" s="422"/>
      <c r="H38" s="422"/>
      <c r="I38" s="424">
        <f t="shared" si="8"/>
        <v>0</v>
      </c>
      <c r="J38" s="525"/>
      <c r="K38" s="582"/>
      <c r="L38" s="583"/>
      <c r="M38" s="584"/>
      <c r="N38" s="275">
        <f t="shared" si="0"/>
        <v>0</v>
      </c>
    </row>
    <row r="39" spans="1:14" ht="25.05" customHeight="1">
      <c r="A39" s="577"/>
      <c r="B39" s="530"/>
      <c r="C39" s="556" t="s">
        <v>16</v>
      </c>
      <c r="D39" s="281" t="s">
        <v>322</v>
      </c>
      <c r="E39" s="422">
        <v>7</v>
      </c>
      <c r="F39" s="422">
        <v>1</v>
      </c>
      <c r="G39" s="422">
        <v>197</v>
      </c>
      <c r="H39" s="422">
        <v>39</v>
      </c>
      <c r="I39" s="424">
        <f>SUM(F39:H39)</f>
        <v>237</v>
      </c>
      <c r="J39" s="523">
        <f>I39+I40+I41+I42</f>
        <v>237</v>
      </c>
      <c r="K39" s="582"/>
      <c r="L39" s="583"/>
      <c r="M39" s="584"/>
      <c r="N39" s="275">
        <f t="shared" si="0"/>
        <v>-62</v>
      </c>
    </row>
    <row r="40" spans="1:14" ht="25.05" customHeight="1">
      <c r="A40" s="577"/>
      <c r="B40" s="530"/>
      <c r="C40" s="557"/>
      <c r="D40" s="281" t="s">
        <v>159</v>
      </c>
      <c r="E40" s="422"/>
      <c r="F40" s="422"/>
      <c r="G40" s="422"/>
      <c r="H40" s="422"/>
      <c r="I40" s="424">
        <f t="shared" ref="I40:I42" si="9">SUM(F40:H40)</f>
        <v>0</v>
      </c>
      <c r="J40" s="524"/>
      <c r="K40" s="582"/>
      <c r="L40" s="583"/>
      <c r="M40" s="584"/>
      <c r="N40" s="275">
        <f t="shared" si="0"/>
        <v>0</v>
      </c>
    </row>
    <row r="41" spans="1:14" ht="25.05" customHeight="1">
      <c r="A41" s="577"/>
      <c r="B41" s="530"/>
      <c r="C41" s="557"/>
      <c r="D41" s="281" t="s">
        <v>323</v>
      </c>
      <c r="E41" s="422"/>
      <c r="F41" s="422"/>
      <c r="G41" s="422"/>
      <c r="H41" s="422"/>
      <c r="I41" s="424">
        <f t="shared" si="9"/>
        <v>0</v>
      </c>
      <c r="J41" s="524"/>
      <c r="K41" s="582"/>
      <c r="L41" s="583"/>
      <c r="M41" s="584"/>
      <c r="N41" s="275">
        <f t="shared" si="0"/>
        <v>0</v>
      </c>
    </row>
    <row r="42" spans="1:14" ht="25.05" customHeight="1">
      <c r="A42" s="577"/>
      <c r="B42" s="531"/>
      <c r="C42" s="558"/>
      <c r="D42" s="281" t="s">
        <v>324</v>
      </c>
      <c r="E42" s="422"/>
      <c r="F42" s="422"/>
      <c r="G42" s="422"/>
      <c r="H42" s="422"/>
      <c r="I42" s="424">
        <f t="shared" si="9"/>
        <v>0</v>
      </c>
      <c r="J42" s="525"/>
      <c r="K42" s="585"/>
      <c r="L42" s="586"/>
      <c r="M42" s="587"/>
      <c r="N42" s="275">
        <f t="shared" si="0"/>
        <v>0</v>
      </c>
    </row>
    <row r="43" spans="1:14" ht="30" customHeight="1">
      <c r="A43" s="577"/>
      <c r="B43" s="284" t="s">
        <v>23</v>
      </c>
      <c r="C43" s="285"/>
      <c r="D43" s="286"/>
      <c r="E43" s="426">
        <f>SUM(E33:E42)</f>
        <v>23</v>
      </c>
      <c r="F43" s="426">
        <f t="shared" ref="F43:G43" si="10">SUM(F33:F42)</f>
        <v>1</v>
      </c>
      <c r="G43" s="426">
        <f t="shared" si="10"/>
        <v>560</v>
      </c>
      <c r="H43" s="426">
        <f>SUM(H33:H42)</f>
        <v>103</v>
      </c>
      <c r="I43" s="425">
        <f>SUM(I33:I42)</f>
        <v>664</v>
      </c>
      <c r="J43" s="278">
        <v>32</v>
      </c>
      <c r="K43" s="278">
        <f>E43*J43</f>
        <v>736</v>
      </c>
      <c r="L43" s="433">
        <v>26</v>
      </c>
      <c r="M43" s="434">
        <f>K43/L43</f>
        <v>28.307692307692307</v>
      </c>
      <c r="N43" s="275">
        <f t="shared" si="0"/>
        <v>-89</v>
      </c>
    </row>
    <row r="44" spans="1:14" ht="24" customHeight="1">
      <c r="A44" s="577"/>
      <c r="B44" s="553" t="s">
        <v>3</v>
      </c>
      <c r="C44" s="532" t="s">
        <v>14</v>
      </c>
      <c r="D44" s="533"/>
      <c r="E44" s="422">
        <v>2</v>
      </c>
      <c r="F44" s="422"/>
      <c r="G44" s="422">
        <v>45</v>
      </c>
      <c r="H44" s="422">
        <v>3</v>
      </c>
      <c r="I44" s="424">
        <f>SUM(F44:H44)</f>
        <v>48</v>
      </c>
      <c r="J44" s="428">
        <f>I44</f>
        <v>48</v>
      </c>
      <c r="K44" s="543"/>
      <c r="L44" s="544"/>
      <c r="M44" s="545"/>
      <c r="N44" s="275">
        <f t="shared" si="0"/>
        <v>2</v>
      </c>
    </row>
    <row r="45" spans="1:14" ht="24" customHeight="1">
      <c r="A45" s="577"/>
      <c r="B45" s="554"/>
      <c r="C45" s="556" t="s">
        <v>15</v>
      </c>
      <c r="D45" s="281" t="s">
        <v>322</v>
      </c>
      <c r="E45" s="422">
        <v>3</v>
      </c>
      <c r="F45" s="422"/>
      <c r="G45" s="422">
        <v>68</v>
      </c>
      <c r="H45" s="422">
        <v>4</v>
      </c>
      <c r="I45" s="424">
        <f t="shared" ref="I45:I52" si="11">SUM(F45:H45)</f>
        <v>72</v>
      </c>
      <c r="J45" s="523">
        <f>I45+I46+I47+I48</f>
        <v>72</v>
      </c>
      <c r="K45" s="546"/>
      <c r="L45" s="547"/>
      <c r="M45" s="548"/>
      <c r="N45" s="275">
        <f t="shared" si="0"/>
        <v>3</v>
      </c>
    </row>
    <row r="46" spans="1:14" ht="24" customHeight="1">
      <c r="A46" s="577"/>
      <c r="B46" s="554"/>
      <c r="C46" s="557"/>
      <c r="D46" s="281" t="s">
        <v>159</v>
      </c>
      <c r="E46" s="422"/>
      <c r="F46" s="422"/>
      <c r="G46" s="422"/>
      <c r="H46" s="422"/>
      <c r="I46" s="424">
        <f t="shared" si="11"/>
        <v>0</v>
      </c>
      <c r="J46" s="524"/>
      <c r="K46" s="546"/>
      <c r="L46" s="547"/>
      <c r="M46" s="548"/>
      <c r="N46" s="275">
        <f t="shared" si="0"/>
        <v>0</v>
      </c>
    </row>
    <row r="47" spans="1:14" ht="24" customHeight="1">
      <c r="A47" s="577"/>
      <c r="B47" s="554"/>
      <c r="C47" s="557"/>
      <c r="D47" s="281" t="s">
        <v>323</v>
      </c>
      <c r="E47" s="422"/>
      <c r="F47" s="422"/>
      <c r="G47" s="422"/>
      <c r="H47" s="422"/>
      <c r="I47" s="424">
        <f t="shared" si="11"/>
        <v>0</v>
      </c>
      <c r="J47" s="524"/>
      <c r="K47" s="546"/>
      <c r="L47" s="547"/>
      <c r="M47" s="548"/>
      <c r="N47" s="275">
        <f t="shared" si="0"/>
        <v>0</v>
      </c>
    </row>
    <row r="48" spans="1:14" ht="24" customHeight="1">
      <c r="A48" s="577"/>
      <c r="B48" s="554"/>
      <c r="C48" s="558"/>
      <c r="D48" s="281" t="s">
        <v>324</v>
      </c>
      <c r="E48" s="422"/>
      <c r="F48" s="422"/>
      <c r="G48" s="422"/>
      <c r="H48" s="422"/>
      <c r="I48" s="424">
        <f t="shared" si="11"/>
        <v>0</v>
      </c>
      <c r="J48" s="525"/>
      <c r="K48" s="546"/>
      <c r="L48" s="547"/>
      <c r="M48" s="548"/>
      <c r="N48" s="275">
        <f t="shared" si="0"/>
        <v>0</v>
      </c>
    </row>
    <row r="49" spans="1:14" ht="24" customHeight="1">
      <c r="A49" s="577"/>
      <c r="B49" s="554"/>
      <c r="C49" s="556" t="s">
        <v>16</v>
      </c>
      <c r="D49" s="281" t="s">
        <v>322</v>
      </c>
      <c r="E49" s="422">
        <v>2</v>
      </c>
      <c r="F49" s="422"/>
      <c r="G49" s="422">
        <v>66</v>
      </c>
      <c r="H49" s="422">
        <v>3</v>
      </c>
      <c r="I49" s="424">
        <f t="shared" si="11"/>
        <v>69</v>
      </c>
      <c r="J49" s="523">
        <f>I49+I50+I51+I52</f>
        <v>69</v>
      </c>
      <c r="K49" s="546"/>
      <c r="L49" s="547"/>
      <c r="M49" s="548"/>
      <c r="N49" s="275">
        <f t="shared" si="0"/>
        <v>-19</v>
      </c>
    </row>
    <row r="50" spans="1:14" ht="24" customHeight="1">
      <c r="A50" s="577"/>
      <c r="B50" s="554"/>
      <c r="C50" s="557"/>
      <c r="D50" s="281" t="s">
        <v>159</v>
      </c>
      <c r="E50" s="422"/>
      <c r="F50" s="422"/>
      <c r="G50" s="422"/>
      <c r="H50" s="422"/>
      <c r="I50" s="424">
        <f t="shared" si="11"/>
        <v>0</v>
      </c>
      <c r="J50" s="524"/>
      <c r="K50" s="546"/>
      <c r="L50" s="547"/>
      <c r="M50" s="548"/>
      <c r="N50" s="275">
        <f t="shared" si="0"/>
        <v>0</v>
      </c>
    </row>
    <row r="51" spans="1:14" ht="24" customHeight="1">
      <c r="A51" s="577"/>
      <c r="B51" s="554"/>
      <c r="C51" s="557"/>
      <c r="D51" s="281" t="s">
        <v>323</v>
      </c>
      <c r="E51" s="422"/>
      <c r="F51" s="422"/>
      <c r="G51" s="422"/>
      <c r="H51" s="422"/>
      <c r="I51" s="424">
        <f t="shared" si="11"/>
        <v>0</v>
      </c>
      <c r="J51" s="524"/>
      <c r="K51" s="546"/>
      <c r="L51" s="547"/>
      <c r="M51" s="548"/>
      <c r="N51" s="275">
        <f t="shared" si="0"/>
        <v>0</v>
      </c>
    </row>
    <row r="52" spans="1:14" ht="24" customHeight="1">
      <c r="A52" s="577"/>
      <c r="B52" s="555"/>
      <c r="C52" s="558"/>
      <c r="D52" s="281" t="s">
        <v>324</v>
      </c>
      <c r="E52" s="422"/>
      <c r="F52" s="422"/>
      <c r="G52" s="422"/>
      <c r="H52" s="422"/>
      <c r="I52" s="424">
        <f t="shared" si="11"/>
        <v>0</v>
      </c>
      <c r="J52" s="525"/>
      <c r="K52" s="549"/>
      <c r="L52" s="550"/>
      <c r="M52" s="551"/>
      <c r="N52" s="275">
        <f t="shared" si="0"/>
        <v>0</v>
      </c>
    </row>
    <row r="53" spans="1:14" ht="28.95" customHeight="1">
      <c r="A53" s="578"/>
      <c r="B53" s="526" t="s">
        <v>24</v>
      </c>
      <c r="C53" s="527"/>
      <c r="D53" s="528"/>
      <c r="E53" s="426">
        <f>SUM(E44:E52)</f>
        <v>7</v>
      </c>
      <c r="F53" s="426">
        <f t="shared" ref="F53:G53" si="12">SUM(F44:F52)</f>
        <v>0</v>
      </c>
      <c r="G53" s="426">
        <f t="shared" si="12"/>
        <v>179</v>
      </c>
      <c r="H53" s="426">
        <f>SUM(H44:H52)</f>
        <v>10</v>
      </c>
      <c r="I53" s="277">
        <f>SUM(I44:I52)</f>
        <v>189</v>
      </c>
      <c r="J53" s="278">
        <v>32</v>
      </c>
      <c r="K53" s="278">
        <f>E53*J53</f>
        <v>224</v>
      </c>
      <c r="L53" s="280">
        <v>9</v>
      </c>
      <c r="M53" s="434">
        <f>K53/L53</f>
        <v>24.888888888888889</v>
      </c>
      <c r="N53" s="275">
        <f>(E53*25)-(F53+G53+H53)</f>
        <v>-14</v>
      </c>
    </row>
    <row r="54" spans="1:14" ht="21">
      <c r="A54" s="570"/>
      <c r="B54" s="571"/>
      <c r="C54" s="571"/>
      <c r="D54" s="571"/>
      <c r="E54" s="571"/>
      <c r="F54" s="571"/>
      <c r="G54" s="571"/>
      <c r="H54" s="571"/>
      <c r="I54" s="571"/>
      <c r="J54" s="571"/>
      <c r="K54" s="571"/>
      <c r="L54" s="571"/>
      <c r="M54" s="571"/>
      <c r="N54" s="571"/>
    </row>
    <row r="55" spans="1:14" ht="30" customHeight="1">
      <c r="A55" s="572" t="s">
        <v>1405</v>
      </c>
      <c r="B55" s="573"/>
      <c r="C55" s="573"/>
      <c r="D55" s="287" t="s">
        <v>5</v>
      </c>
      <c r="E55" s="429">
        <f>E24+E28+E43</f>
        <v>45</v>
      </c>
      <c r="F55" s="429">
        <f t="shared" ref="F55:H55" si="13">F24+F28+F43</f>
        <v>1</v>
      </c>
      <c r="G55" s="429">
        <f t="shared" si="13"/>
        <v>980</v>
      </c>
      <c r="H55" s="429">
        <f t="shared" si="13"/>
        <v>160</v>
      </c>
      <c r="I55" s="289">
        <f>SUM(F55:H55)</f>
        <v>1141</v>
      </c>
      <c r="J55" s="464"/>
      <c r="K55" s="429">
        <f t="shared" ref="K55:L55" si="14">K24+K28+K43</f>
        <v>1480</v>
      </c>
      <c r="L55" s="429">
        <f t="shared" si="14"/>
        <v>57</v>
      </c>
      <c r="M55" s="435">
        <f>K55/L55</f>
        <v>25.964912280701753</v>
      </c>
      <c r="N55" s="275">
        <f>(E55*25)-(F55+G55+H55)</f>
        <v>-16</v>
      </c>
    </row>
    <row r="56" spans="1:14" ht="30" customHeight="1">
      <c r="A56" s="574"/>
      <c r="B56" s="575"/>
      <c r="C56" s="575"/>
      <c r="D56" s="568" t="s">
        <v>3</v>
      </c>
      <c r="E56" s="430">
        <f>E6</f>
        <v>3</v>
      </c>
      <c r="F56" s="430">
        <f t="shared" ref="F56:H56" si="15">F6</f>
        <v>0</v>
      </c>
      <c r="G56" s="430">
        <f t="shared" si="15"/>
        <v>39</v>
      </c>
      <c r="H56" s="430">
        <f t="shared" si="15"/>
        <v>4</v>
      </c>
      <c r="I56" s="431">
        <f>SUM(F56:H56)</f>
        <v>43</v>
      </c>
      <c r="J56" s="464"/>
      <c r="K56" s="288"/>
      <c r="L56" s="289">
        <v>2</v>
      </c>
      <c r="M56" s="290"/>
      <c r="N56" s="275">
        <f>(E56*25)-(F56+G56+H56)</f>
        <v>32</v>
      </c>
    </row>
    <row r="57" spans="1:14" ht="30" customHeight="1">
      <c r="A57" s="574"/>
      <c r="B57" s="575"/>
      <c r="C57" s="575"/>
      <c r="D57" s="569"/>
      <c r="E57" s="430">
        <f>E17+E32+E53</f>
        <v>17</v>
      </c>
      <c r="F57" s="430">
        <f t="shared" ref="F57:H57" si="16">F17+F32+F53</f>
        <v>0</v>
      </c>
      <c r="G57" s="430">
        <f t="shared" si="16"/>
        <v>306</v>
      </c>
      <c r="H57" s="430">
        <f t="shared" si="16"/>
        <v>43</v>
      </c>
      <c r="I57" s="431">
        <f>SUM(F57:H57)</f>
        <v>349</v>
      </c>
      <c r="J57" s="464"/>
      <c r="K57" s="430">
        <f t="shared" ref="K57:L57" si="17">K17+K32+K53</f>
        <v>560</v>
      </c>
      <c r="L57" s="430">
        <f t="shared" si="17"/>
        <v>23</v>
      </c>
      <c r="M57" s="436">
        <f>K57/L57</f>
        <v>24.347826086956523</v>
      </c>
      <c r="N57" s="275">
        <f>(E57*25)-(F57+G57+H57)</f>
        <v>76</v>
      </c>
    </row>
    <row r="58" spans="1:14" ht="30" customHeight="1">
      <c r="A58" s="574"/>
      <c r="B58" s="575"/>
      <c r="C58" s="575"/>
      <c r="D58" s="291" t="s">
        <v>218</v>
      </c>
      <c r="E58" s="297">
        <f>SUM(E55:E57)</f>
        <v>65</v>
      </c>
      <c r="F58" s="297">
        <f t="shared" ref="F58:H58" si="18">SUM(F55:F57)</f>
        <v>1</v>
      </c>
      <c r="G58" s="297">
        <f t="shared" si="18"/>
        <v>1325</v>
      </c>
      <c r="H58" s="297">
        <f t="shared" si="18"/>
        <v>207</v>
      </c>
      <c r="I58" s="298">
        <f>SUM(I55:I57)</f>
        <v>1533</v>
      </c>
      <c r="J58" s="465"/>
      <c r="K58" s="437">
        <f>K55+K57</f>
        <v>2040</v>
      </c>
      <c r="L58" s="438">
        <f>L55+L57</f>
        <v>80</v>
      </c>
      <c r="M58" s="297">
        <f>K58/L58</f>
        <v>25.5</v>
      </c>
      <c r="N58" s="275">
        <f>(E58*25)-(F58+G58+H58)</f>
        <v>92</v>
      </c>
    </row>
    <row r="59" spans="1:14" ht="22.8">
      <c r="A59" s="292"/>
      <c r="B59" s="292"/>
      <c r="C59" s="292"/>
      <c r="D59" s="293"/>
      <c r="E59" s="294"/>
      <c r="F59" s="294"/>
      <c r="G59" s="294"/>
      <c r="H59" s="294"/>
      <c r="I59" s="294"/>
      <c r="J59" s="294"/>
      <c r="K59" s="294"/>
      <c r="L59" s="294"/>
      <c r="M59" s="295"/>
      <c r="N59" s="296"/>
    </row>
  </sheetData>
  <mergeCells count="61">
    <mergeCell ref="A1:N1"/>
    <mergeCell ref="J3:M5"/>
    <mergeCell ref="A7:A24"/>
    <mergeCell ref="J7:M16"/>
    <mergeCell ref="B17:D17"/>
    <mergeCell ref="B18:B23"/>
    <mergeCell ref="J18:M23"/>
    <mergeCell ref="C21:D21"/>
    <mergeCell ref="B24:D24"/>
    <mergeCell ref="A6:D6"/>
    <mergeCell ref="C15:D15"/>
    <mergeCell ref="C13:C14"/>
    <mergeCell ref="C16:D16"/>
    <mergeCell ref="B7:B16"/>
    <mergeCell ref="C22:D22"/>
    <mergeCell ref="C23:D23"/>
    <mergeCell ref="C2:D2"/>
    <mergeCell ref="C3:D3"/>
    <mergeCell ref="C9:C10"/>
    <mergeCell ref="C11:C12"/>
    <mergeCell ref="D56:D57"/>
    <mergeCell ref="C20:D20"/>
    <mergeCell ref="C18:D18"/>
    <mergeCell ref="C19:D19"/>
    <mergeCell ref="A54:N54"/>
    <mergeCell ref="A55:C58"/>
    <mergeCell ref="A33:A53"/>
    <mergeCell ref="B33:B42"/>
    <mergeCell ref="K33:M42"/>
    <mergeCell ref="C35:C38"/>
    <mergeCell ref="J35:J38"/>
    <mergeCell ref="C39:C42"/>
    <mergeCell ref="A3:A5"/>
    <mergeCell ref="B3:B5"/>
    <mergeCell ref="C4:D4"/>
    <mergeCell ref="C5:D5"/>
    <mergeCell ref="C7:C8"/>
    <mergeCell ref="A25:A32"/>
    <mergeCell ref="B28:D28"/>
    <mergeCell ref="B29:B31"/>
    <mergeCell ref="C29:D29"/>
    <mergeCell ref="C31:D31"/>
    <mergeCell ref="B32:D32"/>
    <mergeCell ref="C26:D26"/>
    <mergeCell ref="C27:D27"/>
    <mergeCell ref="C30:D30"/>
    <mergeCell ref="J49:J52"/>
    <mergeCell ref="B53:D53"/>
    <mergeCell ref="B25:B27"/>
    <mergeCell ref="C25:D25"/>
    <mergeCell ref="J25:M27"/>
    <mergeCell ref="J29:M31"/>
    <mergeCell ref="C33:C34"/>
    <mergeCell ref="J39:J42"/>
    <mergeCell ref="B44:B52"/>
    <mergeCell ref="C44:D44"/>
    <mergeCell ref="K44:M52"/>
    <mergeCell ref="C45:C48"/>
    <mergeCell ref="J45:J48"/>
    <mergeCell ref="C49:C52"/>
    <mergeCell ref="J33:J34"/>
  </mergeCells>
  <pageMargins left="0.11811023622047245" right="0.15748031496062992" top="0.31496062992125984" bottom="0.35433070866141736" header="0.31496062992125984" footer="0.31496062992125984"/>
  <pageSetup paperSize="9" scale="5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U70"/>
  <sheetViews>
    <sheetView rightToLeft="1" topLeftCell="A46" workbookViewId="0">
      <selection activeCell="L68" sqref="L68"/>
    </sheetView>
  </sheetViews>
  <sheetFormatPr defaultColWidth="8.796875" defaultRowHeight="13.8"/>
  <cols>
    <col min="1" max="1" width="6" customWidth="1"/>
    <col min="2" max="2" width="7" customWidth="1"/>
    <col min="3" max="3" width="27" customWidth="1"/>
    <col min="4" max="4" width="15.5" customWidth="1"/>
    <col min="5" max="5" width="12.69921875" customWidth="1"/>
    <col min="6" max="6" width="16" customWidth="1"/>
    <col min="7" max="7" width="37.5" customWidth="1"/>
    <col min="8" max="8" width="21.296875" customWidth="1"/>
    <col min="9" max="9" width="16.796875" customWidth="1"/>
    <col min="10" max="10" width="20.796875" customWidth="1"/>
    <col min="11" max="11" width="10.796875" customWidth="1"/>
    <col min="12" max="12" width="13.296875" customWidth="1"/>
    <col min="13" max="13" width="14.69921875" customWidth="1"/>
    <col min="14" max="14" width="18" customWidth="1"/>
    <col min="15" max="15" width="20.5" customWidth="1"/>
  </cols>
  <sheetData>
    <row r="1" spans="1:21">
      <c r="A1" s="611" t="s">
        <v>166</v>
      </c>
      <c r="B1" s="616" t="s">
        <v>167</v>
      </c>
      <c r="C1" s="616"/>
      <c r="D1" s="616"/>
      <c r="E1" s="616"/>
      <c r="F1" s="616"/>
      <c r="G1" s="616"/>
      <c r="H1" s="616"/>
      <c r="I1" s="616"/>
      <c r="J1" s="616"/>
      <c r="K1" s="616"/>
      <c r="L1" s="616"/>
      <c r="M1" s="616"/>
      <c r="N1" s="616"/>
      <c r="O1" s="616"/>
    </row>
    <row r="2" spans="1:21">
      <c r="A2" s="612"/>
      <c r="B2" s="616"/>
      <c r="C2" s="616"/>
      <c r="D2" s="616"/>
      <c r="E2" s="616"/>
      <c r="F2" s="616"/>
      <c r="G2" s="616"/>
      <c r="H2" s="616"/>
      <c r="I2" s="616"/>
      <c r="J2" s="616"/>
      <c r="K2" s="616"/>
      <c r="L2" s="616"/>
      <c r="M2" s="616"/>
      <c r="N2" s="616"/>
      <c r="O2" s="616"/>
    </row>
    <row r="3" spans="1:21" s="27" customFormat="1" ht="34.950000000000003" customHeight="1">
      <c r="A3" s="613"/>
      <c r="B3" s="53" t="s">
        <v>93</v>
      </c>
      <c r="C3" s="53" t="s">
        <v>168</v>
      </c>
      <c r="D3" s="53" t="s">
        <v>48</v>
      </c>
      <c r="E3" s="53" t="s">
        <v>49</v>
      </c>
      <c r="F3" s="53" t="s">
        <v>169</v>
      </c>
      <c r="G3" s="53" t="s">
        <v>170</v>
      </c>
      <c r="H3" s="53" t="s">
        <v>50</v>
      </c>
      <c r="I3" s="53" t="s">
        <v>51</v>
      </c>
      <c r="J3" s="53" t="s">
        <v>1323</v>
      </c>
      <c r="K3" s="53" t="s">
        <v>152</v>
      </c>
      <c r="L3" s="53" t="s">
        <v>172</v>
      </c>
      <c r="M3" s="53" t="s">
        <v>1309</v>
      </c>
      <c r="N3" s="53" t="s">
        <v>1751</v>
      </c>
      <c r="O3" s="53" t="s">
        <v>26</v>
      </c>
    </row>
    <row r="4" spans="1:21" s="27" customFormat="1" ht="34.950000000000003" customHeight="1">
      <c r="A4" s="234">
        <v>1</v>
      </c>
      <c r="B4" s="233">
        <v>122</v>
      </c>
      <c r="C4" s="183" t="s">
        <v>468</v>
      </c>
      <c r="D4" s="48">
        <v>2422265567</v>
      </c>
      <c r="E4" s="184" t="s">
        <v>449</v>
      </c>
      <c r="F4" s="48">
        <v>560294799</v>
      </c>
      <c r="G4" s="242" t="s">
        <v>469</v>
      </c>
      <c r="H4" s="185" t="s">
        <v>80</v>
      </c>
      <c r="I4" s="49" t="s">
        <v>53</v>
      </c>
      <c r="J4" s="49" t="s">
        <v>470</v>
      </c>
      <c r="K4" s="67" t="s">
        <v>4</v>
      </c>
      <c r="L4" s="248">
        <v>24</v>
      </c>
      <c r="M4" s="248">
        <v>0</v>
      </c>
      <c r="N4" s="248"/>
      <c r="O4" s="50"/>
    </row>
    <row r="5" spans="1:21" s="27" customFormat="1" ht="34.950000000000003" customHeight="1">
      <c r="A5" s="235">
        <v>2</v>
      </c>
      <c r="B5" s="233">
        <v>70</v>
      </c>
      <c r="C5" s="183" t="s">
        <v>471</v>
      </c>
      <c r="D5" s="48">
        <v>2296977628</v>
      </c>
      <c r="E5" s="184" t="s">
        <v>449</v>
      </c>
      <c r="F5" s="48">
        <v>567704204</v>
      </c>
      <c r="G5" s="242" t="s">
        <v>1344</v>
      </c>
      <c r="H5" s="185" t="s">
        <v>1327</v>
      </c>
      <c r="I5" s="54" t="s">
        <v>472</v>
      </c>
      <c r="J5" s="49" t="s">
        <v>470</v>
      </c>
      <c r="K5" s="67" t="s">
        <v>4</v>
      </c>
      <c r="L5" s="248">
        <v>24</v>
      </c>
      <c r="M5" s="248">
        <v>0</v>
      </c>
      <c r="N5" s="248"/>
      <c r="O5" s="45"/>
      <c r="U5" s="463" t="s">
        <v>1752</v>
      </c>
    </row>
    <row r="6" spans="1:21" s="27" customFormat="1" ht="34.950000000000003" customHeight="1">
      <c r="A6" s="234">
        <v>3</v>
      </c>
      <c r="B6" s="233">
        <v>68</v>
      </c>
      <c r="C6" s="183" t="s">
        <v>473</v>
      </c>
      <c r="D6" s="48">
        <v>2295722868</v>
      </c>
      <c r="E6" s="184" t="s">
        <v>449</v>
      </c>
      <c r="F6" s="48">
        <v>597772798</v>
      </c>
      <c r="G6" s="242" t="s">
        <v>474</v>
      </c>
      <c r="H6" s="185" t="s">
        <v>78</v>
      </c>
      <c r="I6" s="49" t="s">
        <v>1324</v>
      </c>
      <c r="J6" s="49" t="s">
        <v>470</v>
      </c>
      <c r="K6" s="67" t="s">
        <v>4</v>
      </c>
      <c r="L6" s="248">
        <v>24</v>
      </c>
      <c r="M6" s="248">
        <v>1</v>
      </c>
      <c r="N6" s="248"/>
      <c r="O6" s="45"/>
      <c r="U6" s="463" t="s">
        <v>303</v>
      </c>
    </row>
    <row r="7" spans="1:21" s="27" customFormat="1" ht="34.950000000000003" customHeight="1">
      <c r="A7" s="235">
        <v>4</v>
      </c>
      <c r="B7" s="233">
        <v>3067</v>
      </c>
      <c r="C7" s="183" t="s">
        <v>1098</v>
      </c>
      <c r="D7" s="48">
        <v>2555223862</v>
      </c>
      <c r="E7" s="184" t="s">
        <v>449</v>
      </c>
      <c r="F7" s="48">
        <v>501456751</v>
      </c>
      <c r="G7" s="242" t="s">
        <v>1345</v>
      </c>
      <c r="H7" s="185" t="s">
        <v>78</v>
      </c>
      <c r="I7" s="49" t="s">
        <v>1324</v>
      </c>
      <c r="J7" s="49" t="s">
        <v>1324</v>
      </c>
      <c r="K7" s="67" t="s">
        <v>4</v>
      </c>
      <c r="L7" s="248">
        <v>24</v>
      </c>
      <c r="M7" s="248">
        <v>0</v>
      </c>
      <c r="N7" s="248"/>
      <c r="O7" s="45"/>
      <c r="U7" s="463" t="s">
        <v>304</v>
      </c>
    </row>
    <row r="8" spans="1:21" s="27" customFormat="1" ht="34.950000000000003" customHeight="1">
      <c r="A8" s="234">
        <v>5</v>
      </c>
      <c r="B8" s="233">
        <v>111</v>
      </c>
      <c r="C8" s="183" t="s">
        <v>475</v>
      </c>
      <c r="D8" s="48">
        <v>2314377397</v>
      </c>
      <c r="E8" s="184" t="s">
        <v>449</v>
      </c>
      <c r="F8" s="48">
        <v>598811372</v>
      </c>
      <c r="G8" s="242" t="s">
        <v>476</v>
      </c>
      <c r="H8" s="185" t="s">
        <v>1327</v>
      </c>
      <c r="I8" s="54" t="s">
        <v>477</v>
      </c>
      <c r="J8" s="49" t="s">
        <v>470</v>
      </c>
      <c r="K8" s="67" t="s">
        <v>4</v>
      </c>
      <c r="L8" s="248">
        <v>24</v>
      </c>
      <c r="M8" s="248">
        <v>0</v>
      </c>
      <c r="N8" s="248"/>
      <c r="O8" s="45"/>
      <c r="U8" s="463" t="s">
        <v>305</v>
      </c>
    </row>
    <row r="9" spans="1:21" s="27" customFormat="1" ht="34.950000000000003" customHeight="1">
      <c r="A9" s="235">
        <v>6</v>
      </c>
      <c r="B9" s="233">
        <v>28</v>
      </c>
      <c r="C9" s="183" t="s">
        <v>478</v>
      </c>
      <c r="D9" s="48">
        <v>2422497111</v>
      </c>
      <c r="E9" s="184" t="s">
        <v>449</v>
      </c>
      <c r="F9" s="48">
        <v>581673532</v>
      </c>
      <c r="G9" s="242" t="s">
        <v>479</v>
      </c>
      <c r="H9" s="185" t="s">
        <v>78</v>
      </c>
      <c r="I9" s="49" t="s">
        <v>1324</v>
      </c>
      <c r="J9" s="49" t="s">
        <v>1324</v>
      </c>
      <c r="K9" s="67" t="s">
        <v>4</v>
      </c>
      <c r="L9" s="248">
        <v>25</v>
      </c>
      <c r="M9" s="248">
        <v>1</v>
      </c>
      <c r="N9" s="248"/>
      <c r="O9" s="45"/>
    </row>
    <row r="10" spans="1:21" s="27" customFormat="1" ht="34.950000000000003" customHeight="1">
      <c r="A10" s="234">
        <v>7</v>
      </c>
      <c r="B10" s="233">
        <v>2608</v>
      </c>
      <c r="C10" s="183" t="s">
        <v>480</v>
      </c>
      <c r="D10" s="48">
        <v>1103049928</v>
      </c>
      <c r="E10" s="186" t="s">
        <v>12</v>
      </c>
      <c r="F10" s="48">
        <v>538394028</v>
      </c>
      <c r="G10" s="242" t="s">
        <v>481</v>
      </c>
      <c r="H10" s="185" t="s">
        <v>63</v>
      </c>
      <c r="I10" s="49" t="s">
        <v>477</v>
      </c>
      <c r="J10" s="49" t="s">
        <v>1325</v>
      </c>
      <c r="K10" s="67" t="s">
        <v>4</v>
      </c>
      <c r="L10" s="248">
        <v>24</v>
      </c>
      <c r="M10" s="248">
        <v>1</v>
      </c>
      <c r="N10" s="248"/>
      <c r="O10" s="45"/>
    </row>
    <row r="11" spans="1:21" s="27" customFormat="1" ht="34.950000000000003" customHeight="1">
      <c r="A11" s="235">
        <v>8</v>
      </c>
      <c r="B11" s="233">
        <v>44</v>
      </c>
      <c r="C11" s="183" t="s">
        <v>482</v>
      </c>
      <c r="D11" s="48">
        <v>2320558105</v>
      </c>
      <c r="E11" s="184" t="s">
        <v>449</v>
      </c>
      <c r="F11" s="48">
        <v>561584133</v>
      </c>
      <c r="G11" s="242" t="s">
        <v>1346</v>
      </c>
      <c r="H11" s="185" t="s">
        <v>67</v>
      </c>
      <c r="I11" s="220" t="s">
        <v>483</v>
      </c>
      <c r="J11" s="49" t="s">
        <v>1326</v>
      </c>
      <c r="K11" s="67" t="s">
        <v>4</v>
      </c>
      <c r="L11" s="248">
        <v>24</v>
      </c>
      <c r="M11" s="248">
        <v>1</v>
      </c>
      <c r="N11" s="248"/>
      <c r="O11" s="45"/>
    </row>
    <row r="12" spans="1:21" s="27" customFormat="1" ht="34.950000000000003" customHeight="1">
      <c r="A12" s="234">
        <v>9</v>
      </c>
      <c r="B12" s="233">
        <v>26</v>
      </c>
      <c r="C12" s="183" t="s">
        <v>484</v>
      </c>
      <c r="D12" s="48">
        <v>2422170593</v>
      </c>
      <c r="E12" s="184" t="s">
        <v>449</v>
      </c>
      <c r="F12" s="48">
        <v>562987348</v>
      </c>
      <c r="G12" s="242" t="s">
        <v>485</v>
      </c>
      <c r="H12" s="185" t="s">
        <v>54</v>
      </c>
      <c r="I12" s="49" t="s">
        <v>57</v>
      </c>
      <c r="J12" s="49" t="s">
        <v>57</v>
      </c>
      <c r="K12" s="67" t="s">
        <v>4</v>
      </c>
      <c r="L12" s="248">
        <v>24</v>
      </c>
      <c r="M12" s="248">
        <v>0</v>
      </c>
      <c r="N12" s="248"/>
      <c r="O12" s="45"/>
    </row>
    <row r="13" spans="1:21" s="27" customFormat="1" ht="34.950000000000003" customHeight="1">
      <c r="A13" s="235">
        <v>10</v>
      </c>
      <c r="B13" s="233">
        <v>3844</v>
      </c>
      <c r="C13" s="183" t="s">
        <v>486</v>
      </c>
      <c r="D13" s="48">
        <v>2581564552</v>
      </c>
      <c r="E13" s="184" t="s">
        <v>449</v>
      </c>
      <c r="F13" s="48">
        <v>530143943</v>
      </c>
      <c r="G13" s="242" t="s">
        <v>1347</v>
      </c>
      <c r="H13" s="185" t="s">
        <v>54</v>
      </c>
      <c r="I13" s="49" t="s">
        <v>57</v>
      </c>
      <c r="J13" s="49" t="s">
        <v>57</v>
      </c>
      <c r="K13" s="67" t="s">
        <v>4</v>
      </c>
      <c r="L13" s="248">
        <v>24</v>
      </c>
      <c r="M13" s="248">
        <v>0</v>
      </c>
      <c r="N13" s="248"/>
      <c r="O13" s="45"/>
    </row>
    <row r="14" spans="1:21" s="27" customFormat="1" ht="34.950000000000003" customHeight="1">
      <c r="A14" s="234">
        <v>11</v>
      </c>
      <c r="B14" s="233">
        <v>72</v>
      </c>
      <c r="C14" s="183" t="s">
        <v>488</v>
      </c>
      <c r="D14" s="48">
        <v>2396262137</v>
      </c>
      <c r="E14" s="184" t="s">
        <v>449</v>
      </c>
      <c r="F14" s="48">
        <v>541948873</v>
      </c>
      <c r="G14" s="242" t="s">
        <v>1348</v>
      </c>
      <c r="H14" s="185" t="s">
        <v>78</v>
      </c>
      <c r="I14" s="49" t="s">
        <v>79</v>
      </c>
      <c r="J14" s="49" t="s">
        <v>79</v>
      </c>
      <c r="K14" s="67" t="s">
        <v>4</v>
      </c>
      <c r="L14" s="248">
        <v>24</v>
      </c>
      <c r="M14" s="248">
        <v>1</v>
      </c>
      <c r="N14" s="248"/>
      <c r="O14" s="45"/>
    </row>
    <row r="15" spans="1:21" s="27" customFormat="1" ht="34.950000000000003" customHeight="1">
      <c r="A15" s="235">
        <v>12</v>
      </c>
      <c r="B15" s="233">
        <v>27</v>
      </c>
      <c r="C15" s="183" t="s">
        <v>489</v>
      </c>
      <c r="D15" s="46">
        <v>2422462180</v>
      </c>
      <c r="E15" s="184" t="s">
        <v>449</v>
      </c>
      <c r="F15" s="46">
        <v>562205859</v>
      </c>
      <c r="G15" s="242" t="s">
        <v>490</v>
      </c>
      <c r="H15" s="185" t="s">
        <v>1392</v>
      </c>
      <c r="I15" s="49" t="s">
        <v>215</v>
      </c>
      <c r="J15" s="49" t="s">
        <v>1328</v>
      </c>
      <c r="K15" s="67" t="s">
        <v>4</v>
      </c>
      <c r="L15" s="248">
        <v>24</v>
      </c>
      <c r="M15" s="248">
        <v>0</v>
      </c>
      <c r="N15" s="248"/>
      <c r="O15" s="45"/>
    </row>
    <row r="16" spans="1:21" s="27" customFormat="1" ht="34.950000000000003" customHeight="1">
      <c r="A16" s="234">
        <v>13</v>
      </c>
      <c r="B16" s="233">
        <v>98</v>
      </c>
      <c r="C16" s="183" t="s">
        <v>491</v>
      </c>
      <c r="D16" s="46">
        <v>2396261717</v>
      </c>
      <c r="E16" s="184" t="s">
        <v>449</v>
      </c>
      <c r="F16" s="46">
        <v>599536762</v>
      </c>
      <c r="G16" s="242" t="s">
        <v>1350</v>
      </c>
      <c r="H16" s="185" t="s">
        <v>59</v>
      </c>
      <c r="I16" s="49" t="s">
        <v>82</v>
      </c>
      <c r="J16" s="49" t="s">
        <v>1329</v>
      </c>
      <c r="K16" s="67" t="s">
        <v>4</v>
      </c>
      <c r="L16" s="248">
        <v>24</v>
      </c>
      <c r="M16" s="248">
        <v>1</v>
      </c>
      <c r="N16" s="248"/>
      <c r="O16" s="45"/>
    </row>
    <row r="17" spans="1:15" s="27" customFormat="1" ht="34.950000000000003" customHeight="1">
      <c r="A17" s="235">
        <v>14</v>
      </c>
      <c r="B17" s="233">
        <v>3939</v>
      </c>
      <c r="C17" s="183" t="s">
        <v>492</v>
      </c>
      <c r="D17" s="46">
        <v>2581572480</v>
      </c>
      <c r="E17" s="184" t="s">
        <v>449</v>
      </c>
      <c r="F17" s="46">
        <v>542588417</v>
      </c>
      <c r="G17" s="242" t="s">
        <v>1349</v>
      </c>
      <c r="H17" s="185" t="s">
        <v>54</v>
      </c>
      <c r="I17" s="49" t="s">
        <v>487</v>
      </c>
      <c r="J17" s="49" t="s">
        <v>1330</v>
      </c>
      <c r="K17" s="67" t="s">
        <v>4</v>
      </c>
      <c r="L17" s="248">
        <v>24</v>
      </c>
      <c r="M17" s="248">
        <v>0</v>
      </c>
      <c r="N17" s="248"/>
      <c r="O17" s="45"/>
    </row>
    <row r="18" spans="1:15" s="27" customFormat="1" ht="34.950000000000003" customHeight="1">
      <c r="A18" s="234">
        <v>15</v>
      </c>
      <c r="B18" s="233">
        <v>96</v>
      </c>
      <c r="C18" s="183" t="s">
        <v>494</v>
      </c>
      <c r="D18" s="46">
        <v>2382247068</v>
      </c>
      <c r="E18" s="184" t="s">
        <v>449</v>
      </c>
      <c r="F18" s="48">
        <v>552420543</v>
      </c>
      <c r="G18" s="242" t="s">
        <v>495</v>
      </c>
      <c r="H18" s="185" t="s">
        <v>54</v>
      </c>
      <c r="I18" s="49" t="s">
        <v>68</v>
      </c>
      <c r="J18" s="49" t="s">
        <v>68</v>
      </c>
      <c r="K18" s="67" t="s">
        <v>4</v>
      </c>
      <c r="L18" s="248">
        <v>24</v>
      </c>
      <c r="M18" s="248">
        <v>1</v>
      </c>
      <c r="N18" s="248"/>
      <c r="O18" s="45"/>
    </row>
    <row r="19" spans="1:15" s="27" customFormat="1" ht="34.950000000000003" customHeight="1">
      <c r="A19" s="235">
        <v>16</v>
      </c>
      <c r="B19" s="189">
        <v>3842</v>
      </c>
      <c r="C19" s="183" t="s">
        <v>514</v>
      </c>
      <c r="D19" s="48">
        <v>2581564362</v>
      </c>
      <c r="E19" s="184" t="s">
        <v>449</v>
      </c>
      <c r="F19" s="48">
        <v>537937126</v>
      </c>
      <c r="G19" s="242" t="s">
        <v>1361</v>
      </c>
      <c r="H19" s="185" t="s">
        <v>63</v>
      </c>
      <c r="I19" s="49" t="s">
        <v>57</v>
      </c>
      <c r="J19" s="49" t="s">
        <v>57</v>
      </c>
      <c r="K19" s="67" t="s">
        <v>4</v>
      </c>
      <c r="L19" s="45">
        <v>24</v>
      </c>
      <c r="M19" s="248">
        <v>0</v>
      </c>
      <c r="N19" s="248"/>
      <c r="O19" s="45"/>
    </row>
    <row r="20" spans="1:15" s="27" customFormat="1" ht="34.950000000000003" customHeight="1">
      <c r="A20" s="234">
        <v>17</v>
      </c>
      <c r="B20" s="45" t="s">
        <v>206</v>
      </c>
      <c r="C20" s="183" t="s">
        <v>207</v>
      </c>
      <c r="D20" s="45">
        <v>2555225339</v>
      </c>
      <c r="E20" s="184" t="s">
        <v>449</v>
      </c>
      <c r="F20" s="45">
        <v>570338992</v>
      </c>
      <c r="G20" s="242" t="s">
        <v>348</v>
      </c>
      <c r="H20" s="161" t="s">
        <v>78</v>
      </c>
      <c r="I20" s="49" t="s">
        <v>79</v>
      </c>
      <c r="J20" s="49" t="s">
        <v>79</v>
      </c>
      <c r="K20" s="67" t="s">
        <v>4</v>
      </c>
      <c r="L20" s="248">
        <v>12</v>
      </c>
      <c r="M20" s="248">
        <v>1</v>
      </c>
      <c r="N20" s="248"/>
      <c r="O20" s="45"/>
    </row>
    <row r="21" spans="1:15" s="27" customFormat="1" ht="34.950000000000003" customHeight="1">
      <c r="A21" s="235">
        <v>18</v>
      </c>
      <c r="B21" s="242">
        <v>4811</v>
      </c>
      <c r="C21" s="183" t="s">
        <v>1319</v>
      </c>
      <c r="D21" s="48">
        <v>2614676217</v>
      </c>
      <c r="E21" s="246" t="s">
        <v>449</v>
      </c>
      <c r="F21" s="48">
        <v>540740832</v>
      </c>
      <c r="G21" s="242" t="s">
        <v>1341</v>
      </c>
      <c r="H21" s="185" t="s">
        <v>78</v>
      </c>
      <c r="I21" s="49" t="s">
        <v>79</v>
      </c>
      <c r="J21" s="49" t="s">
        <v>79</v>
      </c>
      <c r="K21" s="67" t="s">
        <v>4</v>
      </c>
      <c r="L21" s="248">
        <v>24</v>
      </c>
      <c r="M21" s="248">
        <v>0</v>
      </c>
      <c r="N21" s="248"/>
      <c r="O21" s="45"/>
    </row>
    <row r="22" spans="1:15" s="27" customFormat="1" ht="34.950000000000003" customHeight="1">
      <c r="A22" s="236">
        <v>1</v>
      </c>
      <c r="B22" s="189">
        <v>3460</v>
      </c>
      <c r="C22" s="183" t="s">
        <v>537</v>
      </c>
      <c r="D22" s="48">
        <v>2163488170</v>
      </c>
      <c r="E22" s="184" t="s">
        <v>451</v>
      </c>
      <c r="F22" s="48">
        <v>567326335</v>
      </c>
      <c r="G22" s="242" t="s">
        <v>1352</v>
      </c>
      <c r="H22" s="185" t="s">
        <v>78</v>
      </c>
      <c r="I22" s="49" t="s">
        <v>79</v>
      </c>
      <c r="J22" s="49" t="s">
        <v>79</v>
      </c>
      <c r="K22" s="68" t="s">
        <v>6</v>
      </c>
      <c r="L22" s="248">
        <v>24</v>
      </c>
      <c r="M22" s="248">
        <v>0</v>
      </c>
      <c r="N22" s="248"/>
      <c r="O22" s="45"/>
    </row>
    <row r="23" spans="1:15" s="27" customFormat="1" ht="34.950000000000003" customHeight="1">
      <c r="A23" s="236">
        <v>2</v>
      </c>
      <c r="B23" s="189">
        <v>3958</v>
      </c>
      <c r="C23" s="183" t="s">
        <v>496</v>
      </c>
      <c r="D23" s="48" t="s">
        <v>312</v>
      </c>
      <c r="E23" s="184" t="s">
        <v>449</v>
      </c>
      <c r="F23" s="48">
        <v>500520431</v>
      </c>
      <c r="G23" s="440" t="s">
        <v>1353</v>
      </c>
      <c r="H23" s="185" t="s">
        <v>78</v>
      </c>
      <c r="I23" s="49" t="s">
        <v>1324</v>
      </c>
      <c r="J23" s="49" t="s">
        <v>1324</v>
      </c>
      <c r="K23" s="68" t="s">
        <v>6</v>
      </c>
      <c r="L23" s="248">
        <v>26</v>
      </c>
      <c r="M23" s="248">
        <v>0</v>
      </c>
      <c r="N23" s="248"/>
      <c r="O23" s="45"/>
    </row>
    <row r="24" spans="1:15" s="27" customFormat="1" ht="34.950000000000003" customHeight="1">
      <c r="A24" s="236">
        <v>3</v>
      </c>
      <c r="B24" s="189"/>
      <c r="C24" s="183"/>
      <c r="D24" s="48"/>
      <c r="E24" s="186"/>
      <c r="F24" s="48"/>
      <c r="G24" s="242"/>
      <c r="H24" s="185"/>
      <c r="I24" s="49"/>
      <c r="J24" s="49"/>
      <c r="K24" s="68"/>
      <c r="L24" s="248"/>
      <c r="M24" s="248"/>
      <c r="N24" s="248"/>
      <c r="O24" s="50"/>
    </row>
    <row r="25" spans="1:15" s="27" customFormat="1" ht="34.950000000000003" customHeight="1">
      <c r="A25" s="236">
        <v>4</v>
      </c>
      <c r="B25" s="45">
        <v>81</v>
      </c>
      <c r="C25" s="183" t="s">
        <v>92</v>
      </c>
      <c r="D25" s="45">
        <v>2382315600</v>
      </c>
      <c r="E25" s="184" t="s">
        <v>449</v>
      </c>
      <c r="F25" s="45">
        <v>541567650</v>
      </c>
      <c r="G25" s="242" t="s">
        <v>174</v>
      </c>
      <c r="H25" s="161" t="s">
        <v>54</v>
      </c>
      <c r="I25" s="49" t="s">
        <v>57</v>
      </c>
      <c r="J25" s="49" t="s">
        <v>57</v>
      </c>
      <c r="K25" s="68" t="s">
        <v>6</v>
      </c>
      <c r="L25" s="248">
        <v>30</v>
      </c>
      <c r="M25" s="248">
        <v>1</v>
      </c>
      <c r="N25" s="248"/>
      <c r="O25" s="164"/>
    </row>
    <row r="26" spans="1:15" s="27" customFormat="1" ht="34.950000000000003" customHeight="1">
      <c r="A26" s="236">
        <v>5</v>
      </c>
      <c r="B26" s="242">
        <v>151</v>
      </c>
      <c r="C26" s="242" t="s">
        <v>1338</v>
      </c>
      <c r="D26" s="45">
        <v>2312390996</v>
      </c>
      <c r="E26" s="184" t="s">
        <v>449</v>
      </c>
      <c r="F26" s="45">
        <v>597274959</v>
      </c>
      <c r="G26" s="249"/>
      <c r="H26" s="161" t="s">
        <v>54</v>
      </c>
      <c r="I26" s="161" t="s">
        <v>1716</v>
      </c>
      <c r="J26" s="161" t="s">
        <v>68</v>
      </c>
      <c r="K26" s="68" t="s">
        <v>6</v>
      </c>
      <c r="L26" s="248">
        <v>27</v>
      </c>
      <c r="M26" s="248">
        <v>0</v>
      </c>
      <c r="N26" s="248"/>
      <c r="O26" s="164"/>
    </row>
    <row r="27" spans="1:15" s="27" customFormat="1" ht="34.950000000000003" customHeight="1">
      <c r="A27" s="236">
        <v>6</v>
      </c>
      <c r="B27" s="189">
        <v>76</v>
      </c>
      <c r="C27" s="183" t="s">
        <v>502</v>
      </c>
      <c r="D27" s="46">
        <v>1106119926</v>
      </c>
      <c r="E27" s="186" t="s">
        <v>12</v>
      </c>
      <c r="F27" s="46">
        <v>559012194</v>
      </c>
      <c r="G27" s="242" t="s">
        <v>1354</v>
      </c>
      <c r="H27" s="185" t="s">
        <v>63</v>
      </c>
      <c r="I27" s="49" t="s">
        <v>57</v>
      </c>
      <c r="J27" s="49" t="s">
        <v>57</v>
      </c>
      <c r="K27" s="68" t="s">
        <v>6</v>
      </c>
      <c r="L27" s="248">
        <v>24</v>
      </c>
      <c r="M27" s="248">
        <v>1</v>
      </c>
      <c r="N27" s="248"/>
      <c r="O27" s="45"/>
    </row>
    <row r="28" spans="1:15" s="27" customFormat="1" ht="34.950000000000003" customHeight="1">
      <c r="A28" s="236">
        <v>7</v>
      </c>
      <c r="B28" s="189">
        <v>3070</v>
      </c>
      <c r="C28" s="183" t="s">
        <v>516</v>
      </c>
      <c r="D28" s="48">
        <v>2555220850</v>
      </c>
      <c r="E28" s="184" t="s">
        <v>449</v>
      </c>
      <c r="F28" s="48">
        <v>553871702</v>
      </c>
      <c r="G28" s="242" t="s">
        <v>1355</v>
      </c>
      <c r="H28" s="185" t="s">
        <v>54</v>
      </c>
      <c r="I28" s="49" t="s">
        <v>77</v>
      </c>
      <c r="J28" s="49" t="s">
        <v>77</v>
      </c>
      <c r="K28" s="68" t="s">
        <v>6</v>
      </c>
      <c r="L28" s="248">
        <v>24</v>
      </c>
      <c r="M28" s="248">
        <v>0</v>
      </c>
      <c r="N28" s="248"/>
      <c r="O28" s="45"/>
    </row>
    <row r="29" spans="1:15" s="27" customFormat="1" ht="34.950000000000003" customHeight="1">
      <c r="A29" s="236">
        <v>8</v>
      </c>
      <c r="B29" s="189">
        <v>69</v>
      </c>
      <c r="C29" s="183" t="s">
        <v>504</v>
      </c>
      <c r="D29" s="187">
        <v>2312390483</v>
      </c>
      <c r="E29" s="184" t="s">
        <v>449</v>
      </c>
      <c r="F29" s="187">
        <v>559462197</v>
      </c>
      <c r="G29" s="242" t="s">
        <v>1356</v>
      </c>
      <c r="H29" s="185" t="s">
        <v>78</v>
      </c>
      <c r="I29" s="188" t="s">
        <v>53</v>
      </c>
      <c r="J29" s="49" t="s">
        <v>53</v>
      </c>
      <c r="K29" s="68" t="s">
        <v>6</v>
      </c>
      <c r="L29" s="248">
        <v>27</v>
      </c>
      <c r="M29" s="248">
        <v>1</v>
      </c>
      <c r="N29" s="248"/>
      <c r="O29" s="45"/>
    </row>
    <row r="30" spans="1:15" s="27" customFormat="1" ht="34.950000000000003" customHeight="1">
      <c r="A30" s="236">
        <v>9</v>
      </c>
      <c r="B30" s="189">
        <v>33</v>
      </c>
      <c r="C30" s="183" t="s">
        <v>505</v>
      </c>
      <c r="D30" s="187">
        <v>2265322129</v>
      </c>
      <c r="E30" s="184" t="s">
        <v>449</v>
      </c>
      <c r="F30" s="48">
        <v>559462197</v>
      </c>
      <c r="G30" s="242" t="s">
        <v>1357</v>
      </c>
      <c r="H30" s="185" t="s">
        <v>1392</v>
      </c>
      <c r="I30" s="54" t="s">
        <v>466</v>
      </c>
      <c r="J30" s="49" t="s">
        <v>1328</v>
      </c>
      <c r="K30" s="68" t="s">
        <v>6</v>
      </c>
      <c r="L30" s="248">
        <v>27</v>
      </c>
      <c r="M30" s="248">
        <v>0</v>
      </c>
      <c r="N30" s="248"/>
      <c r="O30" s="50"/>
    </row>
    <row r="31" spans="1:15" s="27" customFormat="1" ht="34.950000000000003" customHeight="1">
      <c r="A31" s="236">
        <v>10</v>
      </c>
      <c r="B31" s="189">
        <v>3843</v>
      </c>
      <c r="C31" s="183" t="s">
        <v>506</v>
      </c>
      <c r="D31" s="48">
        <v>2581557127</v>
      </c>
      <c r="E31" s="184" t="s">
        <v>449</v>
      </c>
      <c r="F31" s="48">
        <v>561332454</v>
      </c>
      <c r="G31" s="242" t="s">
        <v>1358</v>
      </c>
      <c r="H31" s="185" t="s">
        <v>1392</v>
      </c>
      <c r="I31" s="49" t="s">
        <v>508</v>
      </c>
      <c r="J31" s="49" t="s">
        <v>1326</v>
      </c>
      <c r="K31" s="68" t="s">
        <v>6</v>
      </c>
      <c r="L31" s="248">
        <v>25</v>
      </c>
      <c r="M31" s="248">
        <v>0</v>
      </c>
      <c r="N31" s="248"/>
      <c r="O31" s="45"/>
    </row>
    <row r="32" spans="1:15" s="27" customFormat="1" ht="34.950000000000003" customHeight="1">
      <c r="A32" s="236">
        <v>11</v>
      </c>
      <c r="B32" s="233">
        <v>3079</v>
      </c>
      <c r="C32" s="183" t="s">
        <v>513</v>
      </c>
      <c r="D32" s="48">
        <v>2554811279</v>
      </c>
      <c r="E32" s="184" t="s">
        <v>449</v>
      </c>
      <c r="F32" s="48">
        <v>557940130</v>
      </c>
      <c r="G32" s="242" t="s">
        <v>1351</v>
      </c>
      <c r="H32" s="185" t="s">
        <v>78</v>
      </c>
      <c r="I32" s="49" t="s">
        <v>79</v>
      </c>
      <c r="J32" s="49" t="s">
        <v>79</v>
      </c>
      <c r="K32" s="68" t="s">
        <v>6</v>
      </c>
      <c r="L32" s="248">
        <v>24</v>
      </c>
      <c r="M32" s="248">
        <v>0</v>
      </c>
      <c r="N32" s="248"/>
      <c r="O32" s="45"/>
    </row>
    <row r="33" spans="1:15" s="27" customFormat="1" ht="34.950000000000003" customHeight="1">
      <c r="A33" s="236">
        <v>12</v>
      </c>
      <c r="B33" s="189"/>
      <c r="C33" s="251" t="s">
        <v>1717</v>
      </c>
      <c r="D33" s="252"/>
      <c r="E33" s="186" t="s">
        <v>12</v>
      </c>
      <c r="F33" s="252"/>
      <c r="G33" s="253"/>
      <c r="H33" s="254"/>
      <c r="I33" s="254"/>
      <c r="J33" s="255"/>
      <c r="K33" s="68" t="s">
        <v>6</v>
      </c>
      <c r="L33" s="45">
        <v>24</v>
      </c>
      <c r="M33" s="248">
        <v>0</v>
      </c>
      <c r="N33" s="248"/>
      <c r="O33" s="45"/>
    </row>
    <row r="34" spans="1:15" s="27" customFormat="1" ht="34.950000000000003" customHeight="1">
      <c r="A34" s="236">
        <v>13</v>
      </c>
      <c r="B34" s="45">
        <v>57</v>
      </c>
      <c r="C34" s="183" t="s">
        <v>81</v>
      </c>
      <c r="D34" s="45">
        <v>2459416059</v>
      </c>
      <c r="E34" s="184" t="s">
        <v>449</v>
      </c>
      <c r="F34" s="45">
        <v>590775476</v>
      </c>
      <c r="G34" s="242" t="s">
        <v>182</v>
      </c>
      <c r="H34" s="161" t="s">
        <v>59</v>
      </c>
      <c r="I34" s="161" t="s">
        <v>82</v>
      </c>
      <c r="J34" s="161" t="s">
        <v>60</v>
      </c>
      <c r="K34" s="68" t="s">
        <v>6</v>
      </c>
      <c r="L34" s="248">
        <v>13</v>
      </c>
      <c r="M34" s="248">
        <v>0</v>
      </c>
      <c r="N34" s="248"/>
      <c r="O34" s="45"/>
    </row>
    <row r="35" spans="1:15" s="27" customFormat="1" ht="34.950000000000003" customHeight="1">
      <c r="A35" s="237">
        <v>1</v>
      </c>
      <c r="B35" s="189">
        <v>160</v>
      </c>
      <c r="C35" s="183" t="s">
        <v>509</v>
      </c>
      <c r="D35" s="48">
        <v>2442472367</v>
      </c>
      <c r="E35" s="184" t="s">
        <v>449</v>
      </c>
      <c r="F35" s="48">
        <v>545793386</v>
      </c>
      <c r="G35" s="242" t="s">
        <v>510</v>
      </c>
      <c r="H35" s="185" t="s">
        <v>54</v>
      </c>
      <c r="I35" s="49" t="s">
        <v>76</v>
      </c>
      <c r="J35" s="47" t="s">
        <v>85</v>
      </c>
      <c r="K35" s="69" t="s">
        <v>7</v>
      </c>
      <c r="L35" s="248">
        <v>28</v>
      </c>
      <c r="M35" s="248">
        <v>0</v>
      </c>
      <c r="N35" s="248"/>
      <c r="O35" s="50"/>
    </row>
    <row r="36" spans="1:15" s="27" customFormat="1" ht="34.950000000000003" customHeight="1">
      <c r="A36" s="237">
        <v>2</v>
      </c>
      <c r="B36" s="189">
        <v>158</v>
      </c>
      <c r="C36" s="183" t="s">
        <v>511</v>
      </c>
      <c r="D36" s="48">
        <v>2422266318</v>
      </c>
      <c r="E36" s="184" t="s">
        <v>449</v>
      </c>
      <c r="F36" s="48">
        <v>560288340</v>
      </c>
      <c r="G36" s="242" t="s">
        <v>1359</v>
      </c>
      <c r="H36" s="185" t="s">
        <v>54</v>
      </c>
      <c r="I36" s="49" t="s">
        <v>76</v>
      </c>
      <c r="J36" s="47" t="s">
        <v>77</v>
      </c>
      <c r="K36" s="69" t="s">
        <v>7</v>
      </c>
      <c r="L36" s="248">
        <v>27</v>
      </c>
      <c r="M36" s="248">
        <v>1</v>
      </c>
      <c r="N36" s="248"/>
      <c r="O36" s="45"/>
    </row>
    <row r="37" spans="1:15" s="27" customFormat="1" ht="34.950000000000003" customHeight="1">
      <c r="A37" s="237">
        <v>3</v>
      </c>
      <c r="B37" s="189">
        <v>3069</v>
      </c>
      <c r="C37" s="183" t="s">
        <v>512</v>
      </c>
      <c r="D37" s="48">
        <v>2555224332</v>
      </c>
      <c r="E37" s="184" t="s">
        <v>449</v>
      </c>
      <c r="F37" s="48">
        <v>560288340</v>
      </c>
      <c r="G37" s="242" t="s">
        <v>1360</v>
      </c>
      <c r="H37" s="185" t="s">
        <v>54</v>
      </c>
      <c r="I37" s="49" t="s">
        <v>57</v>
      </c>
      <c r="J37" s="49" t="s">
        <v>57</v>
      </c>
      <c r="K37" s="69" t="s">
        <v>7</v>
      </c>
      <c r="L37" s="45">
        <v>28</v>
      </c>
      <c r="M37" s="248">
        <v>0</v>
      </c>
      <c r="N37" s="248"/>
      <c r="O37" s="176"/>
    </row>
    <row r="38" spans="1:15" s="27" customFormat="1" ht="34.950000000000003" customHeight="1">
      <c r="A38" s="237">
        <v>4</v>
      </c>
      <c r="B38" s="189">
        <v>3577</v>
      </c>
      <c r="C38" s="251" t="s">
        <v>523</v>
      </c>
      <c r="D38" s="252">
        <v>1100905122</v>
      </c>
      <c r="E38" s="186" t="s">
        <v>12</v>
      </c>
      <c r="F38" s="252">
        <v>554808786</v>
      </c>
      <c r="G38" s="253" t="s">
        <v>524</v>
      </c>
      <c r="H38" s="254" t="s">
        <v>63</v>
      </c>
      <c r="I38" s="254" t="s">
        <v>1393</v>
      </c>
      <c r="J38" s="255" t="s">
        <v>91</v>
      </c>
      <c r="K38" s="69" t="s">
        <v>7</v>
      </c>
      <c r="L38" s="45">
        <v>24</v>
      </c>
      <c r="M38" s="248">
        <v>0</v>
      </c>
      <c r="N38" s="248"/>
      <c r="O38" s="45"/>
    </row>
    <row r="39" spans="1:15" s="27" customFormat="1" ht="34.950000000000003" customHeight="1">
      <c r="A39" s="237">
        <v>5</v>
      </c>
      <c r="B39" s="189"/>
      <c r="C39" s="251" t="s">
        <v>1718</v>
      </c>
      <c r="D39" s="252"/>
      <c r="E39" s="186" t="s">
        <v>12</v>
      </c>
      <c r="F39" s="252"/>
      <c r="G39" s="253"/>
      <c r="H39" s="254"/>
      <c r="I39" s="254"/>
      <c r="J39" s="255" t="s">
        <v>364</v>
      </c>
      <c r="K39" s="69"/>
      <c r="L39" s="45"/>
      <c r="M39" s="248"/>
      <c r="N39" s="248"/>
      <c r="O39" s="45"/>
    </row>
    <row r="40" spans="1:15" s="27" customFormat="1" ht="34.950000000000003" customHeight="1">
      <c r="A40" s="237">
        <v>6</v>
      </c>
      <c r="B40" s="189"/>
      <c r="C40" s="183" t="s">
        <v>1320</v>
      </c>
      <c r="D40" s="48">
        <v>2107240462</v>
      </c>
      <c r="E40" s="184" t="s">
        <v>449</v>
      </c>
      <c r="F40" s="48">
        <v>508901528</v>
      </c>
      <c r="G40" s="242" t="s">
        <v>1394</v>
      </c>
      <c r="H40" s="185" t="s">
        <v>78</v>
      </c>
      <c r="I40" s="49" t="s">
        <v>79</v>
      </c>
      <c r="J40" s="49" t="s">
        <v>79</v>
      </c>
      <c r="K40" s="69" t="s">
        <v>7</v>
      </c>
      <c r="L40" s="45">
        <v>24</v>
      </c>
      <c r="M40" s="248">
        <v>0</v>
      </c>
      <c r="N40" s="248"/>
      <c r="O40" s="45"/>
    </row>
    <row r="41" spans="1:15" s="27" customFormat="1" ht="34.950000000000003" customHeight="1">
      <c r="A41" s="237">
        <v>7</v>
      </c>
      <c r="B41" s="242">
        <v>667</v>
      </c>
      <c r="C41" s="242" t="s">
        <v>1342</v>
      </c>
      <c r="D41" s="48">
        <v>24441761695</v>
      </c>
      <c r="E41" s="184" t="s">
        <v>449</v>
      </c>
      <c r="F41" s="48">
        <v>592141776</v>
      </c>
      <c r="G41" s="242" t="s">
        <v>1343</v>
      </c>
      <c r="H41" s="185" t="s">
        <v>54</v>
      </c>
      <c r="I41" s="49" t="s">
        <v>76</v>
      </c>
      <c r="J41" s="47" t="s">
        <v>85</v>
      </c>
      <c r="K41" s="69" t="s">
        <v>7</v>
      </c>
      <c r="L41" s="45">
        <v>24</v>
      </c>
      <c r="M41" s="248">
        <v>0</v>
      </c>
      <c r="N41" s="248"/>
      <c r="O41" s="45"/>
    </row>
    <row r="42" spans="1:15" s="27" customFormat="1" ht="34.950000000000003" customHeight="1">
      <c r="A42" s="237">
        <v>8</v>
      </c>
      <c r="B42" s="242">
        <v>4734</v>
      </c>
      <c r="C42" s="183" t="s">
        <v>1340</v>
      </c>
      <c r="D42" s="48">
        <v>2614670624</v>
      </c>
      <c r="E42" s="246" t="s">
        <v>449</v>
      </c>
      <c r="F42" s="48">
        <v>551921047</v>
      </c>
      <c r="G42" s="242" t="s">
        <v>1339</v>
      </c>
      <c r="H42" s="247" t="s">
        <v>54</v>
      </c>
      <c r="I42" s="49" t="s">
        <v>57</v>
      </c>
      <c r="J42" s="49" t="s">
        <v>57</v>
      </c>
      <c r="K42" s="69" t="s">
        <v>7</v>
      </c>
      <c r="L42" s="248">
        <v>24</v>
      </c>
      <c r="M42" s="248">
        <v>0</v>
      </c>
      <c r="N42" s="248"/>
      <c r="O42" s="45"/>
    </row>
    <row r="43" spans="1:15" s="27" customFormat="1" ht="34.950000000000003" customHeight="1">
      <c r="A43" s="237">
        <v>9</v>
      </c>
      <c r="B43" s="189">
        <v>164</v>
      </c>
      <c r="C43" s="183" t="s">
        <v>515</v>
      </c>
      <c r="D43" s="48">
        <v>2442117442</v>
      </c>
      <c r="E43" s="184" t="s">
        <v>449</v>
      </c>
      <c r="F43" s="48">
        <v>544804894</v>
      </c>
      <c r="G43" s="242" t="s">
        <v>1362</v>
      </c>
      <c r="H43" s="185" t="s">
        <v>63</v>
      </c>
      <c r="I43" s="161" t="s">
        <v>156</v>
      </c>
      <c r="J43" s="161" t="s">
        <v>156</v>
      </c>
      <c r="K43" s="69" t="s">
        <v>7</v>
      </c>
      <c r="L43" s="45">
        <v>20</v>
      </c>
      <c r="M43" s="248">
        <v>0</v>
      </c>
      <c r="N43" s="248"/>
      <c r="O43" s="45"/>
    </row>
    <row r="44" spans="1:15" s="27" customFormat="1" ht="34.950000000000003" customHeight="1">
      <c r="A44" s="237">
        <v>10</v>
      </c>
      <c r="B44" s="242">
        <v>3105</v>
      </c>
      <c r="C44" s="183" t="s">
        <v>1331</v>
      </c>
      <c r="D44" s="48">
        <v>2555219555</v>
      </c>
      <c r="E44" s="184" t="s">
        <v>449</v>
      </c>
      <c r="F44" s="48">
        <v>511525182</v>
      </c>
      <c r="G44" s="242" t="s">
        <v>1333</v>
      </c>
      <c r="H44" s="49" t="s">
        <v>78</v>
      </c>
      <c r="I44" s="49" t="s">
        <v>53</v>
      </c>
      <c r="J44" s="47" t="s">
        <v>53</v>
      </c>
      <c r="K44" s="69" t="s">
        <v>7</v>
      </c>
      <c r="L44" s="248">
        <v>27</v>
      </c>
      <c r="M44" s="248">
        <v>1</v>
      </c>
      <c r="N44" s="248"/>
      <c r="O44" s="45"/>
    </row>
    <row r="45" spans="1:15" s="27" customFormat="1" ht="34.950000000000003" customHeight="1">
      <c r="A45" s="237">
        <v>11</v>
      </c>
      <c r="B45" s="189">
        <v>137</v>
      </c>
      <c r="C45" s="183" t="s">
        <v>517</v>
      </c>
      <c r="D45" s="48">
        <v>2422261525</v>
      </c>
      <c r="E45" s="184" t="s">
        <v>449</v>
      </c>
      <c r="F45" s="48">
        <v>548480212</v>
      </c>
      <c r="G45" s="242" t="s">
        <v>1363</v>
      </c>
      <c r="H45" s="185" t="s">
        <v>59</v>
      </c>
      <c r="I45" s="49" t="s">
        <v>518</v>
      </c>
      <c r="J45" s="47" t="s">
        <v>60</v>
      </c>
      <c r="K45" s="69" t="s">
        <v>7</v>
      </c>
      <c r="L45" s="248">
        <v>28</v>
      </c>
      <c r="M45" s="248">
        <v>0</v>
      </c>
      <c r="N45" s="248"/>
      <c r="O45" s="45"/>
    </row>
    <row r="46" spans="1:15" s="27" customFormat="1" ht="34.950000000000003" customHeight="1">
      <c r="A46" s="237">
        <v>12</v>
      </c>
      <c r="B46" s="189">
        <v>95</v>
      </c>
      <c r="C46" s="183" t="s">
        <v>519</v>
      </c>
      <c r="D46" s="48">
        <v>2350964611</v>
      </c>
      <c r="E46" s="184" t="s">
        <v>449</v>
      </c>
      <c r="F46" s="48">
        <v>599931920</v>
      </c>
      <c r="G46" s="242" t="s">
        <v>1364</v>
      </c>
      <c r="H46" s="185" t="s">
        <v>54</v>
      </c>
      <c r="I46" s="49" t="s">
        <v>520</v>
      </c>
      <c r="J46" s="161" t="s">
        <v>77</v>
      </c>
      <c r="K46" s="69" t="s">
        <v>7</v>
      </c>
      <c r="L46" s="248">
        <v>25</v>
      </c>
      <c r="M46" s="248">
        <v>1</v>
      </c>
      <c r="N46" s="248"/>
      <c r="O46" s="50"/>
    </row>
    <row r="47" spans="1:15" s="27" customFormat="1" ht="34.950000000000003" customHeight="1">
      <c r="A47" s="237">
        <v>13</v>
      </c>
      <c r="B47" s="189">
        <v>29</v>
      </c>
      <c r="C47" s="183" t="s">
        <v>521</v>
      </c>
      <c r="D47" s="48">
        <v>2295913624</v>
      </c>
      <c r="E47" s="184" t="s">
        <v>522</v>
      </c>
      <c r="F47" s="48">
        <v>2295913624</v>
      </c>
      <c r="G47" s="242" t="s">
        <v>1365</v>
      </c>
      <c r="H47" s="185" t="s">
        <v>80</v>
      </c>
      <c r="I47" s="49" t="s">
        <v>1324</v>
      </c>
      <c r="J47" s="49" t="s">
        <v>1324</v>
      </c>
      <c r="K47" s="69" t="s">
        <v>7</v>
      </c>
      <c r="L47" s="248">
        <v>24</v>
      </c>
      <c r="M47" s="248">
        <v>0</v>
      </c>
      <c r="N47" s="248"/>
      <c r="O47" s="45"/>
    </row>
    <row r="48" spans="1:15" s="27" customFormat="1" ht="34.950000000000003" customHeight="1">
      <c r="A48" s="237">
        <v>14</v>
      </c>
      <c r="B48" s="189">
        <v>3890</v>
      </c>
      <c r="C48" s="183" t="s">
        <v>525</v>
      </c>
      <c r="D48" s="48">
        <v>2581567183</v>
      </c>
      <c r="E48" s="184" t="s">
        <v>449</v>
      </c>
      <c r="F48" s="48">
        <v>575331681</v>
      </c>
      <c r="G48" s="242" t="s">
        <v>1366</v>
      </c>
      <c r="H48" s="185" t="s">
        <v>78</v>
      </c>
      <c r="I48" s="49" t="s">
        <v>79</v>
      </c>
      <c r="J48" s="49" t="s">
        <v>79</v>
      </c>
      <c r="K48" s="69" t="s">
        <v>7</v>
      </c>
      <c r="L48" s="248">
        <v>26</v>
      </c>
      <c r="M48" s="248">
        <v>0</v>
      </c>
      <c r="N48" s="248"/>
      <c r="O48" s="45"/>
    </row>
    <row r="49" spans="1:15" s="27" customFormat="1" ht="34.950000000000003" customHeight="1">
      <c r="A49" s="237">
        <v>15</v>
      </c>
      <c r="B49" s="189">
        <v>3100</v>
      </c>
      <c r="C49" s="183" t="s">
        <v>526</v>
      </c>
      <c r="D49" s="48">
        <v>2555873526</v>
      </c>
      <c r="E49" s="184" t="s">
        <v>449</v>
      </c>
      <c r="F49" s="48">
        <v>535716468</v>
      </c>
      <c r="G49" s="242" t="s">
        <v>1367</v>
      </c>
      <c r="H49" s="185" t="s">
        <v>54</v>
      </c>
      <c r="I49" s="49" t="s">
        <v>156</v>
      </c>
      <c r="J49" s="47" t="s">
        <v>156</v>
      </c>
      <c r="K49" s="69" t="s">
        <v>7</v>
      </c>
      <c r="L49" s="248">
        <v>27</v>
      </c>
      <c r="M49" s="248">
        <v>0</v>
      </c>
      <c r="N49" s="248"/>
      <c r="O49" s="45"/>
    </row>
    <row r="50" spans="1:15" s="27" customFormat="1" ht="34.049999999999997" customHeight="1">
      <c r="A50" s="237">
        <v>16</v>
      </c>
      <c r="B50" s="242">
        <v>4716</v>
      </c>
      <c r="C50" s="183" t="s">
        <v>1332</v>
      </c>
      <c r="D50" s="48">
        <v>2614676555</v>
      </c>
      <c r="E50" s="184" t="s">
        <v>449</v>
      </c>
      <c r="F50" s="48">
        <v>568871490</v>
      </c>
      <c r="G50" s="242" t="s">
        <v>1334</v>
      </c>
      <c r="H50" s="49" t="s">
        <v>78</v>
      </c>
      <c r="I50" s="49" t="s">
        <v>53</v>
      </c>
      <c r="J50" s="47" t="s">
        <v>53</v>
      </c>
      <c r="K50" s="69" t="s">
        <v>7</v>
      </c>
      <c r="L50" s="248">
        <v>24</v>
      </c>
      <c r="M50" s="248">
        <v>0</v>
      </c>
      <c r="N50" s="248"/>
      <c r="O50" s="45"/>
    </row>
    <row r="51" spans="1:15" s="27" customFormat="1" ht="34.950000000000003" customHeight="1">
      <c r="A51" s="237">
        <v>17</v>
      </c>
      <c r="B51" s="189">
        <v>168</v>
      </c>
      <c r="C51" s="183" t="s">
        <v>527</v>
      </c>
      <c r="D51" s="48">
        <v>2479842896</v>
      </c>
      <c r="E51" s="184" t="s">
        <v>449</v>
      </c>
      <c r="F51" s="48">
        <v>560816095</v>
      </c>
      <c r="G51" s="242" t="s">
        <v>1368</v>
      </c>
      <c r="H51" s="185" t="s">
        <v>54</v>
      </c>
      <c r="I51" s="49" t="s">
        <v>57</v>
      </c>
      <c r="J51" s="49" t="s">
        <v>57</v>
      </c>
      <c r="K51" s="69" t="s">
        <v>7</v>
      </c>
      <c r="L51" s="248">
        <v>28</v>
      </c>
      <c r="M51" s="248">
        <v>0</v>
      </c>
      <c r="N51" s="248"/>
      <c r="O51" s="45"/>
    </row>
    <row r="52" spans="1:15" s="27" customFormat="1" ht="34.950000000000003" customHeight="1">
      <c r="A52" s="237">
        <v>18</v>
      </c>
      <c r="B52" s="189">
        <v>3846</v>
      </c>
      <c r="C52" s="183" t="s">
        <v>528</v>
      </c>
      <c r="D52" s="48">
        <v>2581559974</v>
      </c>
      <c r="E52" s="184" t="s">
        <v>449</v>
      </c>
      <c r="F52" s="48">
        <v>575953826</v>
      </c>
      <c r="G52" s="242" t="s">
        <v>1369</v>
      </c>
      <c r="H52" s="185" t="s">
        <v>1392</v>
      </c>
      <c r="I52" s="49" t="s">
        <v>216</v>
      </c>
      <c r="J52" s="49" t="s">
        <v>1326</v>
      </c>
      <c r="K52" s="69" t="s">
        <v>7</v>
      </c>
      <c r="L52" s="248">
        <v>24</v>
      </c>
      <c r="M52" s="248">
        <v>0</v>
      </c>
      <c r="N52" s="248"/>
      <c r="O52" s="45"/>
    </row>
    <row r="53" spans="1:15" ht="28.95" customHeight="1">
      <c r="A53" s="237">
        <v>19</v>
      </c>
      <c r="B53" s="242">
        <v>41</v>
      </c>
      <c r="C53" s="183" t="s">
        <v>1321</v>
      </c>
      <c r="D53" s="45">
        <v>2283207625</v>
      </c>
      <c r="E53" s="184" t="s">
        <v>449</v>
      </c>
      <c r="F53" s="45">
        <v>596946521</v>
      </c>
      <c r="G53" s="242" t="s">
        <v>1335</v>
      </c>
      <c r="H53" s="161" t="s">
        <v>78</v>
      </c>
      <c r="I53" s="161" t="s">
        <v>79</v>
      </c>
      <c r="J53" s="161" t="s">
        <v>79</v>
      </c>
      <c r="K53" s="69" t="s">
        <v>7</v>
      </c>
      <c r="L53" s="248">
        <v>25</v>
      </c>
      <c r="M53" s="248">
        <v>0</v>
      </c>
      <c r="N53" s="248"/>
      <c r="O53" s="164"/>
    </row>
    <row r="54" spans="1:15" ht="28.95" customHeight="1">
      <c r="A54" s="237">
        <v>20</v>
      </c>
      <c r="B54" s="45">
        <v>83</v>
      </c>
      <c r="C54" s="183" t="s">
        <v>90</v>
      </c>
      <c r="D54" s="45">
        <v>1077677175</v>
      </c>
      <c r="E54" s="186" t="s">
        <v>12</v>
      </c>
      <c r="F54" s="45">
        <v>599979305</v>
      </c>
      <c r="G54" s="242" t="s">
        <v>173</v>
      </c>
      <c r="H54" s="161" t="s">
        <v>69</v>
      </c>
      <c r="I54" s="161" t="s">
        <v>70</v>
      </c>
      <c r="J54" s="49" t="s">
        <v>364</v>
      </c>
      <c r="K54" s="69" t="s">
        <v>7</v>
      </c>
      <c r="L54" s="248">
        <v>27</v>
      </c>
      <c r="M54" s="248">
        <v>0</v>
      </c>
      <c r="N54" s="248"/>
      <c r="O54" s="165"/>
    </row>
    <row r="55" spans="1:15" ht="28.95" customHeight="1">
      <c r="A55" s="237">
        <v>21</v>
      </c>
      <c r="B55" s="45">
        <v>47</v>
      </c>
      <c r="C55" s="183" t="s">
        <v>540</v>
      </c>
      <c r="D55" s="48">
        <v>2405280336</v>
      </c>
      <c r="E55" s="47" t="s">
        <v>449</v>
      </c>
      <c r="F55" s="48">
        <v>542634736</v>
      </c>
      <c r="G55" s="242" t="s">
        <v>465</v>
      </c>
      <c r="H55" s="161" t="s">
        <v>1392</v>
      </c>
      <c r="I55" s="161" t="s">
        <v>216</v>
      </c>
      <c r="J55" s="49" t="s">
        <v>1326</v>
      </c>
      <c r="K55" s="69" t="s">
        <v>7</v>
      </c>
      <c r="L55" s="248">
        <v>24</v>
      </c>
      <c r="M55" s="248">
        <v>1</v>
      </c>
      <c r="N55" s="248"/>
      <c r="O55" s="165"/>
    </row>
    <row r="56" spans="1:15" ht="28.95" customHeight="1">
      <c r="A56" s="237">
        <v>22</v>
      </c>
      <c r="B56" s="243">
        <v>4897</v>
      </c>
      <c r="C56" s="183" t="s">
        <v>1336</v>
      </c>
      <c r="D56" s="48">
        <v>1122032756</v>
      </c>
      <c r="E56" s="186" t="s">
        <v>12</v>
      </c>
      <c r="F56" s="48">
        <v>554756449</v>
      </c>
      <c r="G56" s="242" t="s">
        <v>1337</v>
      </c>
      <c r="H56" s="47" t="s">
        <v>63</v>
      </c>
      <c r="I56" s="49" t="s">
        <v>64</v>
      </c>
      <c r="J56" s="161" t="s">
        <v>1395</v>
      </c>
      <c r="K56" s="69" t="s">
        <v>7</v>
      </c>
      <c r="L56" s="248">
        <v>13</v>
      </c>
      <c r="M56" s="248">
        <v>0</v>
      </c>
      <c r="N56" s="248"/>
      <c r="O56" s="250" t="s">
        <v>1396</v>
      </c>
    </row>
    <row r="57" spans="1:15" ht="28.95" customHeight="1">
      <c r="A57" s="237">
        <v>23</v>
      </c>
      <c r="B57" s="45">
        <v>90</v>
      </c>
      <c r="C57" s="183" t="s">
        <v>177</v>
      </c>
      <c r="D57" s="45">
        <v>2353869387</v>
      </c>
      <c r="E57" s="184" t="s">
        <v>449</v>
      </c>
      <c r="F57" s="45">
        <v>569270288</v>
      </c>
      <c r="G57" s="242" t="s">
        <v>178</v>
      </c>
      <c r="H57" s="161" t="s">
        <v>54</v>
      </c>
      <c r="I57" s="161" t="s">
        <v>57</v>
      </c>
      <c r="J57" s="49" t="s">
        <v>57</v>
      </c>
      <c r="K57" s="69" t="s">
        <v>7</v>
      </c>
      <c r="L57" s="248">
        <v>25</v>
      </c>
      <c r="M57" s="248">
        <v>1</v>
      </c>
      <c r="N57" s="248"/>
      <c r="O57" s="164"/>
    </row>
    <row r="58" spans="1:15" ht="28.95" customHeight="1">
      <c r="A58" s="237">
        <v>24</v>
      </c>
      <c r="B58" s="45">
        <v>100</v>
      </c>
      <c r="C58" s="183" t="s">
        <v>75</v>
      </c>
      <c r="D58" s="45">
        <v>2422266433</v>
      </c>
      <c r="E58" s="184" t="s">
        <v>449</v>
      </c>
      <c r="F58" s="45">
        <v>593544970</v>
      </c>
      <c r="G58" s="242" t="s">
        <v>179</v>
      </c>
      <c r="H58" s="161" t="s">
        <v>54</v>
      </c>
      <c r="I58" s="161" t="s">
        <v>76</v>
      </c>
      <c r="J58" s="161" t="s">
        <v>85</v>
      </c>
      <c r="K58" s="69" t="s">
        <v>7</v>
      </c>
      <c r="L58" s="248">
        <v>24</v>
      </c>
      <c r="M58" s="248">
        <v>0</v>
      </c>
      <c r="N58" s="248"/>
      <c r="O58" s="50"/>
    </row>
    <row r="59" spans="1:15" ht="28.95" customHeight="1">
      <c r="A59" s="237">
        <v>25</v>
      </c>
      <c r="B59" s="45">
        <v>99</v>
      </c>
      <c r="C59" s="183" t="s">
        <v>180</v>
      </c>
      <c r="D59" s="45">
        <v>2397060761</v>
      </c>
      <c r="E59" s="184" t="s">
        <v>449</v>
      </c>
      <c r="F59" s="45">
        <v>593671461</v>
      </c>
      <c r="G59" s="242" t="s">
        <v>181</v>
      </c>
      <c r="H59" s="161" t="s">
        <v>67</v>
      </c>
      <c r="I59" s="161" t="s">
        <v>77</v>
      </c>
      <c r="J59" s="161" t="s">
        <v>77</v>
      </c>
      <c r="K59" s="69" t="s">
        <v>7</v>
      </c>
      <c r="L59" s="248">
        <v>26</v>
      </c>
      <c r="M59" s="248">
        <v>1</v>
      </c>
      <c r="N59" s="248"/>
      <c r="O59" s="164"/>
    </row>
    <row r="60" spans="1:15" ht="28.95" customHeight="1">
      <c r="A60" s="237">
        <v>26</v>
      </c>
      <c r="B60" s="45">
        <v>132</v>
      </c>
      <c r="C60" s="183" t="s">
        <v>140</v>
      </c>
      <c r="D60" s="45">
        <v>2323205456</v>
      </c>
      <c r="E60" s="184" t="s">
        <v>449</v>
      </c>
      <c r="F60" s="45">
        <v>535964015</v>
      </c>
      <c r="G60" s="242" t="s">
        <v>183</v>
      </c>
      <c r="H60" s="161" t="s">
        <v>61</v>
      </c>
      <c r="I60" s="161" t="s">
        <v>216</v>
      </c>
      <c r="J60" s="49" t="s">
        <v>1326</v>
      </c>
      <c r="K60" s="69" t="s">
        <v>7</v>
      </c>
      <c r="L60" s="248">
        <v>18</v>
      </c>
      <c r="M60" s="248">
        <v>1</v>
      </c>
      <c r="N60" s="248"/>
      <c r="O60" s="250" t="s">
        <v>1397</v>
      </c>
    </row>
    <row r="61" spans="1:15" ht="28.95" customHeight="1">
      <c r="A61" s="237">
        <v>27</v>
      </c>
      <c r="B61" s="45" t="s">
        <v>208</v>
      </c>
      <c r="C61" s="183" t="s">
        <v>209</v>
      </c>
      <c r="D61" s="45">
        <v>2555224241</v>
      </c>
      <c r="E61" s="184" t="s">
        <v>449</v>
      </c>
      <c r="F61" s="45">
        <v>597834206</v>
      </c>
      <c r="G61" s="242" t="s">
        <v>349</v>
      </c>
      <c r="H61" s="161" t="s">
        <v>54</v>
      </c>
      <c r="I61" s="161" t="s">
        <v>156</v>
      </c>
      <c r="J61" s="161" t="s">
        <v>156</v>
      </c>
      <c r="K61" s="69" t="s">
        <v>7</v>
      </c>
      <c r="L61" s="248">
        <v>27</v>
      </c>
      <c r="M61" s="248">
        <v>1</v>
      </c>
      <c r="N61" s="248"/>
      <c r="O61" s="165"/>
    </row>
    <row r="62" spans="1:15" ht="10.5" customHeight="1">
      <c r="B62" s="617"/>
      <c r="C62" s="618"/>
      <c r="D62" s="618"/>
      <c r="E62" s="618"/>
      <c r="F62" s="618"/>
      <c r="G62" s="618"/>
      <c r="H62" s="618"/>
      <c r="I62" s="618"/>
      <c r="J62" s="618"/>
      <c r="K62" s="619"/>
      <c r="L62" s="72"/>
      <c r="M62" s="72"/>
      <c r="N62" s="72"/>
      <c r="O62" s="73"/>
    </row>
    <row r="64" spans="1:15" ht="31.95" customHeight="1">
      <c r="C64" s="157"/>
      <c r="D64" s="615"/>
      <c r="E64" s="615"/>
      <c r="F64" s="27"/>
      <c r="G64" s="620" t="s">
        <v>0</v>
      </c>
      <c r="H64" s="620" t="s">
        <v>166</v>
      </c>
      <c r="I64" s="620"/>
      <c r="J64" s="620" t="s">
        <v>1309</v>
      </c>
      <c r="K64" s="19"/>
      <c r="L64" s="621"/>
      <c r="M64" s="149"/>
      <c r="N64" s="149"/>
    </row>
    <row r="65" spans="3:14" ht="25.05" customHeight="1">
      <c r="C65" s="157"/>
      <c r="D65" s="615"/>
      <c r="E65" s="615"/>
      <c r="F65" s="27"/>
      <c r="G65" s="620"/>
      <c r="H65" s="85" t="s">
        <v>12</v>
      </c>
      <c r="I65" s="85" t="s">
        <v>13</v>
      </c>
      <c r="J65" s="620"/>
      <c r="K65" s="149"/>
      <c r="L65" s="621"/>
      <c r="M65" s="149"/>
      <c r="N65" s="149"/>
    </row>
    <row r="66" spans="3:14" ht="25.05" customHeight="1">
      <c r="C66" s="157"/>
      <c r="D66" s="157"/>
      <c r="E66" s="157"/>
      <c r="F66" s="27"/>
      <c r="G66" s="76" t="s">
        <v>4</v>
      </c>
      <c r="H66" s="244">
        <v>1</v>
      </c>
      <c r="I66" s="244">
        <v>17</v>
      </c>
      <c r="J66" s="244">
        <f>SUM(M4:M21)</f>
        <v>8</v>
      </c>
      <c r="K66" s="149"/>
      <c r="L66" s="149"/>
      <c r="M66" s="149"/>
      <c r="N66" s="149"/>
    </row>
    <row r="67" spans="3:14" ht="28.95" customHeight="1">
      <c r="G67" s="76" t="s">
        <v>6</v>
      </c>
      <c r="H67" s="142">
        <v>3</v>
      </c>
      <c r="I67" s="142">
        <v>9</v>
      </c>
      <c r="J67" s="142">
        <f>SUM(M22:M34)</f>
        <v>3</v>
      </c>
      <c r="K67" s="150"/>
      <c r="L67" s="27"/>
      <c r="M67" s="27"/>
      <c r="N67" s="27"/>
    </row>
    <row r="68" spans="3:14" ht="28.95" customHeight="1">
      <c r="G68" s="76" t="s">
        <v>7</v>
      </c>
      <c r="H68" s="142">
        <v>4</v>
      </c>
      <c r="I68" s="142">
        <v>23</v>
      </c>
      <c r="J68" s="142">
        <f>SUM(M35:M61)</f>
        <v>8</v>
      </c>
      <c r="K68" s="150"/>
      <c r="L68" s="27"/>
      <c r="M68" s="27"/>
      <c r="N68" s="27"/>
    </row>
    <row r="69" spans="3:14" ht="28.95" customHeight="1">
      <c r="G69" s="614" t="s">
        <v>224</v>
      </c>
      <c r="H69" s="143">
        <f>SUM(H66:H68)</f>
        <v>8</v>
      </c>
      <c r="I69" s="143">
        <f t="shared" ref="I69:J69" si="0">SUM(I66:I68)</f>
        <v>49</v>
      </c>
      <c r="J69" s="143">
        <f t="shared" si="0"/>
        <v>19</v>
      </c>
      <c r="K69" s="150"/>
      <c r="L69" s="27"/>
      <c r="M69" s="27"/>
      <c r="N69" s="27"/>
    </row>
    <row r="70" spans="3:14" ht="27.75" customHeight="1">
      <c r="G70" s="614"/>
      <c r="H70" s="239">
        <f>H69+I69</f>
        <v>57</v>
      </c>
      <c r="I70" s="240"/>
      <c r="J70" s="241"/>
      <c r="K70" s="238"/>
    </row>
  </sheetData>
  <autoFilter ref="B3:O61" xr:uid="{00000000-0001-0000-0700-000000000000}"/>
  <mergeCells count="10">
    <mergeCell ref="A1:A3"/>
    <mergeCell ref="G69:G70"/>
    <mergeCell ref="D64:E64"/>
    <mergeCell ref="D65:E65"/>
    <mergeCell ref="B1:O2"/>
    <mergeCell ref="B62:K62"/>
    <mergeCell ref="G64:G65"/>
    <mergeCell ref="H64:I64"/>
    <mergeCell ref="L64:L65"/>
    <mergeCell ref="J64:J65"/>
  </mergeCells>
  <dataValidations disablePrompts="1" count="1">
    <dataValidation type="list" allowBlank="1" showInputMessage="1" showErrorMessage="1" sqref="N4:N61" xr:uid="{CD20E934-62D6-4B4B-A3AF-3E411C9A1CBF}">
      <formula1>$U$5:$U$8</formula1>
    </dataValidation>
  </dataValidations>
  <hyperlinks>
    <hyperlink ref="G60" r:id="rId1" xr:uid="{00000000-0004-0000-0700-000001000000}"/>
    <hyperlink ref="G61" r:id="rId2" xr:uid="{00000000-0004-0000-0700-000005000000}"/>
    <hyperlink ref="G59" r:id="rId3" xr:uid="{64D89DBC-AAB9-4AB1-8700-07FEAC5D0908}"/>
    <hyperlink ref="G35" r:id="rId4" xr:uid="{FAD5FD54-647F-954D-8480-05D8503715F7}"/>
    <hyperlink ref="G11" r:id="rId5" xr:uid="{523C7976-92F5-6947-A4D9-0C2104B6808D}"/>
    <hyperlink ref="G41" r:id="rId6" xr:uid="{C5E0765E-CAD8-6041-9E5C-7111FA97894E}"/>
    <hyperlink ref="G56" r:id="rId7" xr:uid="{63F78764-3E13-0541-821A-34637944F8C7}"/>
    <hyperlink ref="G55" r:id="rId8" xr:uid="{D7690AB9-33CD-6144-BF72-F45466B85E60}"/>
    <hyperlink ref="G42" r:id="rId9" xr:uid="{D5517682-8101-C44F-940A-C1B0A5CD702E}"/>
    <hyperlink ref="G20" r:id="rId10" xr:uid="{7FEAE581-D898-F848-A9DA-8D211DCF63DF}"/>
    <hyperlink ref="G23" r:id="rId11" xr:uid="{ACD397E8-76EB-9A44-AD42-DEF8FE437ACB}"/>
  </hyperlinks>
  <pageMargins left="0.15748031496062992" right="0.15748031496062992" top="0.27559055118110237" bottom="0.31496062992125984" header="0.31496062992125984" footer="0.31496062992125984"/>
  <pageSetup paperSize="9" scale="70" orientation="landscape" r:id="rId12"/>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M39"/>
  <sheetViews>
    <sheetView rightToLeft="1" workbookViewId="0">
      <selection activeCell="A19" sqref="A19:A28"/>
    </sheetView>
  </sheetViews>
  <sheetFormatPr defaultColWidth="8.796875" defaultRowHeight="13.8"/>
  <cols>
    <col min="1" max="1" width="6" style="156" customWidth="1"/>
    <col min="2" max="2" width="8.5" customWidth="1"/>
    <col min="3" max="3" width="34.5" customWidth="1"/>
    <col min="4" max="4" width="13.796875" customWidth="1"/>
    <col min="5" max="5" width="9.796875" customWidth="1"/>
    <col min="6" max="6" width="12.69921875" customWidth="1"/>
    <col min="7" max="7" width="37.796875" customWidth="1"/>
    <col min="8" max="8" width="15.796875" customWidth="1"/>
    <col min="9" max="9" width="15.5" customWidth="1"/>
    <col min="10" max="10" width="17.296875" customWidth="1"/>
    <col min="11" max="11" width="13.5" style="27" customWidth="1"/>
    <col min="12" max="12" width="15.5" bestFit="1" customWidth="1"/>
    <col min="13" max="13" width="43.69921875" customWidth="1"/>
  </cols>
  <sheetData>
    <row r="1" spans="1:13">
      <c r="A1" s="622"/>
      <c r="B1" s="623" t="s">
        <v>184</v>
      </c>
      <c r="C1" s="616"/>
      <c r="D1" s="616"/>
      <c r="E1" s="616"/>
      <c r="F1" s="616"/>
      <c r="G1" s="616"/>
      <c r="H1" s="616"/>
      <c r="I1" s="616"/>
      <c r="J1" s="616"/>
      <c r="K1" s="616"/>
      <c r="L1" s="616"/>
      <c r="M1" s="616"/>
    </row>
    <row r="2" spans="1:13">
      <c r="A2" s="622"/>
      <c r="B2" s="623"/>
      <c r="C2" s="616"/>
      <c r="D2" s="616"/>
      <c r="E2" s="616"/>
      <c r="F2" s="616"/>
      <c r="G2" s="616"/>
      <c r="H2" s="616"/>
      <c r="I2" s="616"/>
      <c r="J2" s="616"/>
      <c r="K2" s="616"/>
      <c r="L2" s="616"/>
      <c r="M2" s="616"/>
    </row>
    <row r="3" spans="1:13" ht="26.25" customHeight="1">
      <c r="A3" s="622"/>
      <c r="B3" s="154" t="s">
        <v>93</v>
      </c>
      <c r="C3" s="53" t="s">
        <v>185</v>
      </c>
      <c r="D3" s="53" t="s">
        <v>48</v>
      </c>
      <c r="E3" s="53" t="s">
        <v>49</v>
      </c>
      <c r="F3" s="53" t="s">
        <v>169</v>
      </c>
      <c r="G3" s="53" t="s">
        <v>170</v>
      </c>
      <c r="H3" s="53" t="s">
        <v>50</v>
      </c>
      <c r="I3" s="53" t="s">
        <v>51</v>
      </c>
      <c r="J3" s="53" t="s">
        <v>1323</v>
      </c>
      <c r="K3" s="53" t="s">
        <v>152</v>
      </c>
      <c r="L3" s="53" t="s">
        <v>1309</v>
      </c>
      <c r="M3" s="53" t="s">
        <v>26</v>
      </c>
    </row>
    <row r="4" spans="1:13" ht="23.4">
      <c r="A4" s="263">
        <v>1</v>
      </c>
      <c r="B4" s="155">
        <v>195</v>
      </c>
      <c r="C4" s="47" t="s">
        <v>392</v>
      </c>
      <c r="D4" s="47">
        <v>1101391603</v>
      </c>
      <c r="E4" s="47" t="s">
        <v>226</v>
      </c>
      <c r="F4" s="48">
        <v>535375812</v>
      </c>
      <c r="G4" s="245" t="s">
        <v>393</v>
      </c>
      <c r="H4" s="47" t="s">
        <v>63</v>
      </c>
      <c r="I4" s="49" t="s">
        <v>186</v>
      </c>
      <c r="J4" s="49" t="s">
        <v>186</v>
      </c>
      <c r="K4" s="66" t="s">
        <v>2</v>
      </c>
      <c r="L4" s="224">
        <v>1</v>
      </c>
      <c r="M4" s="258"/>
    </row>
    <row r="5" spans="1:13" ht="23.4">
      <c r="A5" s="263">
        <v>2</v>
      </c>
      <c r="B5" s="155">
        <v>201</v>
      </c>
      <c r="C5" s="47" t="s">
        <v>394</v>
      </c>
      <c r="D5" s="47">
        <v>1070000169</v>
      </c>
      <c r="E5" s="47" t="s">
        <v>226</v>
      </c>
      <c r="F5" s="48">
        <v>551391313</v>
      </c>
      <c r="G5" s="245" t="s">
        <v>395</v>
      </c>
      <c r="H5" s="47" t="s">
        <v>63</v>
      </c>
      <c r="I5" s="49" t="s">
        <v>186</v>
      </c>
      <c r="J5" s="49" t="s">
        <v>186</v>
      </c>
      <c r="K5" s="66" t="s">
        <v>2</v>
      </c>
      <c r="L5" s="50">
        <v>1</v>
      </c>
      <c r="M5" s="258"/>
    </row>
    <row r="6" spans="1:13" ht="23.4">
      <c r="A6" s="264">
        <v>1</v>
      </c>
      <c r="B6" s="155">
        <v>277</v>
      </c>
      <c r="C6" s="47" t="s">
        <v>398</v>
      </c>
      <c r="D6" s="47">
        <v>1030800088</v>
      </c>
      <c r="E6" s="47" t="s">
        <v>226</v>
      </c>
      <c r="F6" s="48">
        <v>555994993</v>
      </c>
      <c r="G6" s="245" t="s">
        <v>399</v>
      </c>
      <c r="H6" s="47" t="s">
        <v>63</v>
      </c>
      <c r="I6" s="54" t="s">
        <v>400</v>
      </c>
      <c r="J6" s="47" t="s">
        <v>68</v>
      </c>
      <c r="K6" s="67" t="s">
        <v>4</v>
      </c>
      <c r="L6" s="45">
        <v>1</v>
      </c>
      <c r="M6" s="250"/>
    </row>
    <row r="7" spans="1:13" ht="23.4">
      <c r="A7" s="264">
        <v>2</v>
      </c>
      <c r="B7" s="155">
        <v>4411</v>
      </c>
      <c r="C7" s="47" t="s">
        <v>1310</v>
      </c>
      <c r="D7" s="47">
        <v>1096733116</v>
      </c>
      <c r="E7" s="47" t="s">
        <v>226</v>
      </c>
      <c r="F7" s="48">
        <v>506776366</v>
      </c>
      <c r="G7" s="245" t="s">
        <v>1371</v>
      </c>
      <c r="H7" s="47" t="s">
        <v>63</v>
      </c>
      <c r="I7" s="54" t="s">
        <v>53</v>
      </c>
      <c r="J7" s="47" t="s">
        <v>53</v>
      </c>
      <c r="K7" s="67" t="s">
        <v>4</v>
      </c>
      <c r="L7" s="45">
        <v>1</v>
      </c>
      <c r="M7" s="250" t="s">
        <v>190</v>
      </c>
    </row>
    <row r="8" spans="1:13" ht="23.4">
      <c r="A8" s="264">
        <v>3</v>
      </c>
      <c r="B8" s="155">
        <v>3979</v>
      </c>
      <c r="C8" s="47" t="s">
        <v>404</v>
      </c>
      <c r="D8" s="47">
        <v>1090590280</v>
      </c>
      <c r="E8" s="47" t="s">
        <v>226</v>
      </c>
      <c r="F8" s="48">
        <v>507557516</v>
      </c>
      <c r="G8" s="245" t="s">
        <v>1372</v>
      </c>
      <c r="H8" s="47" t="s">
        <v>63</v>
      </c>
      <c r="I8" s="49" t="s">
        <v>405</v>
      </c>
      <c r="J8" s="47" t="s">
        <v>62</v>
      </c>
      <c r="K8" s="67" t="s">
        <v>4</v>
      </c>
      <c r="L8" s="45">
        <v>1</v>
      </c>
      <c r="M8" s="259" t="s">
        <v>1399</v>
      </c>
    </row>
    <row r="9" spans="1:13" ht="23.4">
      <c r="A9" s="264">
        <v>4</v>
      </c>
      <c r="B9" s="155">
        <v>186</v>
      </c>
      <c r="C9" s="47" t="s">
        <v>406</v>
      </c>
      <c r="D9" s="47">
        <v>1072851387</v>
      </c>
      <c r="E9" s="47" t="s">
        <v>226</v>
      </c>
      <c r="F9" s="48">
        <v>555958725</v>
      </c>
      <c r="G9" s="245" t="s">
        <v>407</v>
      </c>
      <c r="H9" s="47" t="s">
        <v>63</v>
      </c>
      <c r="I9" s="49" t="s">
        <v>79</v>
      </c>
      <c r="J9" s="47" t="s">
        <v>79</v>
      </c>
      <c r="K9" s="67" t="s">
        <v>4</v>
      </c>
      <c r="L9" s="222">
        <v>0</v>
      </c>
      <c r="M9" s="250" t="s">
        <v>302</v>
      </c>
    </row>
    <row r="10" spans="1:13" ht="23.4">
      <c r="A10" s="264">
        <v>5</v>
      </c>
      <c r="B10" s="155">
        <v>258</v>
      </c>
      <c r="C10" s="47" t="s">
        <v>408</v>
      </c>
      <c r="D10" s="47">
        <v>1039555444</v>
      </c>
      <c r="E10" s="47" t="s">
        <v>226</v>
      </c>
      <c r="F10" s="48">
        <v>535750688</v>
      </c>
      <c r="G10" s="245" t="s">
        <v>409</v>
      </c>
      <c r="H10" s="47" t="s">
        <v>63</v>
      </c>
      <c r="I10" s="49" t="s">
        <v>57</v>
      </c>
      <c r="J10" s="47" t="s">
        <v>57</v>
      </c>
      <c r="K10" s="67" t="s">
        <v>4</v>
      </c>
      <c r="L10" s="222">
        <v>0</v>
      </c>
      <c r="M10" s="250" t="s">
        <v>190</v>
      </c>
    </row>
    <row r="11" spans="1:13" ht="23.4">
      <c r="A11" s="264">
        <v>6</v>
      </c>
      <c r="B11" s="242">
        <v>4613</v>
      </c>
      <c r="C11" s="242" t="s">
        <v>1382</v>
      </c>
      <c r="D11" s="47">
        <v>1100642105</v>
      </c>
      <c r="E11" s="47" t="s">
        <v>226</v>
      </c>
      <c r="F11" s="48">
        <v>564299881</v>
      </c>
      <c r="G11" s="245" t="s">
        <v>1383</v>
      </c>
      <c r="H11" s="47" t="s">
        <v>63</v>
      </c>
      <c r="I11" s="45" t="s">
        <v>53</v>
      </c>
      <c r="J11" s="47" t="s">
        <v>53</v>
      </c>
      <c r="K11" s="67" t="s">
        <v>4</v>
      </c>
      <c r="L11" s="45">
        <v>1</v>
      </c>
      <c r="M11" s="258" t="s">
        <v>364</v>
      </c>
    </row>
    <row r="12" spans="1:13" ht="23.4">
      <c r="A12" s="264">
        <v>7</v>
      </c>
      <c r="B12" s="242">
        <v>4665</v>
      </c>
      <c r="C12" s="242" t="s">
        <v>1386</v>
      </c>
      <c r="D12" s="47">
        <v>1109240026</v>
      </c>
      <c r="E12" s="47" t="s">
        <v>226</v>
      </c>
      <c r="F12" s="48">
        <v>554020886</v>
      </c>
      <c r="G12" s="245" t="s">
        <v>1387</v>
      </c>
      <c r="H12" s="47" t="s">
        <v>63</v>
      </c>
      <c r="I12" s="49" t="s">
        <v>421</v>
      </c>
      <c r="J12" s="47" t="s">
        <v>364</v>
      </c>
      <c r="K12" s="262" t="s">
        <v>4</v>
      </c>
      <c r="L12" s="45">
        <v>1</v>
      </c>
      <c r="M12" s="250" t="s">
        <v>188</v>
      </c>
    </row>
    <row r="13" spans="1:13" ht="23.4">
      <c r="A13" s="264">
        <v>8</v>
      </c>
      <c r="B13" s="242">
        <v>4839</v>
      </c>
      <c r="C13" s="242" t="s">
        <v>1388</v>
      </c>
      <c r="D13" s="47">
        <v>1087563092</v>
      </c>
      <c r="E13" s="47" t="s">
        <v>226</v>
      </c>
      <c r="F13" s="48">
        <v>504439030</v>
      </c>
      <c r="G13" s="245" t="s">
        <v>1389</v>
      </c>
      <c r="H13" s="47" t="s">
        <v>63</v>
      </c>
      <c r="I13" s="49" t="s">
        <v>57</v>
      </c>
      <c r="J13" s="47" t="s">
        <v>57</v>
      </c>
      <c r="K13" s="67" t="s">
        <v>4</v>
      </c>
      <c r="L13" s="222">
        <v>1</v>
      </c>
      <c r="M13" s="250"/>
    </row>
    <row r="14" spans="1:13" ht="23.4">
      <c r="A14" s="264">
        <v>9</v>
      </c>
      <c r="B14" s="155">
        <v>4073</v>
      </c>
      <c r="C14" s="47" t="s">
        <v>426</v>
      </c>
      <c r="D14" s="47">
        <v>3183302037</v>
      </c>
      <c r="E14" s="175" t="s">
        <v>387</v>
      </c>
      <c r="F14" s="48">
        <v>96893292767</v>
      </c>
      <c r="G14" s="245" t="s">
        <v>1373</v>
      </c>
      <c r="H14" s="47" t="s">
        <v>63</v>
      </c>
      <c r="I14" s="49" t="s">
        <v>79</v>
      </c>
      <c r="J14" s="47" t="s">
        <v>79</v>
      </c>
      <c r="K14" s="67" t="s">
        <v>4</v>
      </c>
      <c r="L14" s="45">
        <v>0</v>
      </c>
      <c r="M14" s="250"/>
    </row>
    <row r="15" spans="1:13" ht="23.4">
      <c r="A15" s="265">
        <v>1</v>
      </c>
      <c r="B15" s="242">
        <v>4454</v>
      </c>
      <c r="C15" s="47" t="s">
        <v>1311</v>
      </c>
      <c r="D15" s="47">
        <v>1040870246</v>
      </c>
      <c r="E15" s="47" t="s">
        <v>226</v>
      </c>
      <c r="F15" s="48">
        <v>533694533</v>
      </c>
      <c r="G15" s="245" t="s">
        <v>1381</v>
      </c>
      <c r="H15" s="47" t="s">
        <v>63</v>
      </c>
      <c r="I15" s="49" t="s">
        <v>91</v>
      </c>
      <c r="J15" s="47" t="s">
        <v>91</v>
      </c>
      <c r="K15" s="68" t="s">
        <v>6</v>
      </c>
      <c r="L15" s="222">
        <v>1</v>
      </c>
      <c r="M15" s="250" t="s">
        <v>1400</v>
      </c>
    </row>
    <row r="16" spans="1:13" ht="23.4">
      <c r="A16" s="265">
        <v>2</v>
      </c>
      <c r="B16" s="242">
        <v>777</v>
      </c>
      <c r="C16" s="242" t="s">
        <v>1375</v>
      </c>
      <c r="D16" s="47">
        <v>1032078469</v>
      </c>
      <c r="E16" s="47" t="s">
        <v>226</v>
      </c>
      <c r="F16" s="226">
        <v>501195488</v>
      </c>
      <c r="G16" s="245" t="s">
        <v>1376</v>
      </c>
      <c r="H16" s="256" t="s">
        <v>63</v>
      </c>
      <c r="I16" s="227" t="s">
        <v>79</v>
      </c>
      <c r="J16" s="225" t="s">
        <v>79</v>
      </c>
      <c r="K16" s="68" t="s">
        <v>6</v>
      </c>
      <c r="L16" s="222">
        <v>1</v>
      </c>
      <c r="M16" s="250" t="s">
        <v>1398</v>
      </c>
    </row>
    <row r="17" spans="1:13" ht="23.4">
      <c r="A17" s="265">
        <v>3</v>
      </c>
      <c r="B17" s="155">
        <v>3207</v>
      </c>
      <c r="C17" s="47" t="s">
        <v>410</v>
      </c>
      <c r="D17" s="47">
        <v>1086472568</v>
      </c>
      <c r="E17" s="47" t="s">
        <v>226</v>
      </c>
      <c r="F17" s="48">
        <v>500131813</v>
      </c>
      <c r="G17" s="245" t="s">
        <v>411</v>
      </c>
      <c r="H17" s="47" t="s">
        <v>63</v>
      </c>
      <c r="I17" s="49" t="s">
        <v>202</v>
      </c>
      <c r="J17" s="47" t="s">
        <v>364</v>
      </c>
      <c r="K17" s="68" t="s">
        <v>6</v>
      </c>
      <c r="L17" s="45">
        <v>1</v>
      </c>
      <c r="M17" s="258" t="s">
        <v>1401</v>
      </c>
    </row>
    <row r="18" spans="1:13" ht="23.4">
      <c r="A18" s="265">
        <v>4</v>
      </c>
      <c r="B18" s="242">
        <v>4838</v>
      </c>
      <c r="C18" s="242" t="s">
        <v>1384</v>
      </c>
      <c r="D18" s="47">
        <v>1090199421</v>
      </c>
      <c r="E18" s="47" t="s">
        <v>226</v>
      </c>
      <c r="F18" s="226">
        <v>535311125</v>
      </c>
      <c r="G18" s="245" t="s">
        <v>1385</v>
      </c>
      <c r="H18" s="256" t="s">
        <v>63</v>
      </c>
      <c r="I18" s="227" t="s">
        <v>53</v>
      </c>
      <c r="J18" s="225" t="s">
        <v>53</v>
      </c>
      <c r="K18" s="261" t="s">
        <v>6</v>
      </c>
      <c r="L18" s="45">
        <v>1</v>
      </c>
      <c r="M18" s="250" t="s">
        <v>1402</v>
      </c>
    </row>
    <row r="19" spans="1:13" ht="23.4">
      <c r="A19" s="266">
        <v>1</v>
      </c>
      <c r="B19" s="155">
        <v>191</v>
      </c>
      <c r="C19" s="47" t="s">
        <v>416</v>
      </c>
      <c r="D19" s="47">
        <v>1078713391</v>
      </c>
      <c r="E19" s="47" t="s">
        <v>226</v>
      </c>
      <c r="F19" s="48">
        <v>551491226</v>
      </c>
      <c r="G19" s="245" t="s">
        <v>417</v>
      </c>
      <c r="H19" s="47" t="s">
        <v>63</v>
      </c>
      <c r="I19" s="49" t="s">
        <v>55</v>
      </c>
      <c r="J19" s="47" t="s">
        <v>57</v>
      </c>
      <c r="K19" s="228" t="s">
        <v>7</v>
      </c>
      <c r="L19" s="222">
        <v>0</v>
      </c>
      <c r="M19" s="250" t="s">
        <v>60</v>
      </c>
    </row>
    <row r="20" spans="1:13" ht="23.4">
      <c r="A20" s="266">
        <v>2</v>
      </c>
      <c r="B20" s="242">
        <v>4467</v>
      </c>
      <c r="C20" s="242" t="s">
        <v>1379</v>
      </c>
      <c r="D20" s="47">
        <v>1106877986</v>
      </c>
      <c r="E20" s="47" t="s">
        <v>226</v>
      </c>
      <c r="F20" s="48">
        <v>538898978</v>
      </c>
      <c r="G20" s="245" t="s">
        <v>1380</v>
      </c>
      <c r="H20" s="47" t="s">
        <v>63</v>
      </c>
      <c r="I20" s="49" t="s">
        <v>85</v>
      </c>
      <c r="J20" s="47" t="s">
        <v>85</v>
      </c>
      <c r="K20" s="69" t="s">
        <v>7</v>
      </c>
      <c r="L20" s="222">
        <v>0</v>
      </c>
      <c r="M20" s="258" t="s">
        <v>68</v>
      </c>
    </row>
    <row r="21" spans="1:13" ht="23.4">
      <c r="A21" s="266">
        <v>3</v>
      </c>
      <c r="B21" s="155">
        <v>175</v>
      </c>
      <c r="C21" s="47" t="s">
        <v>396</v>
      </c>
      <c r="D21" s="47">
        <v>1046735476</v>
      </c>
      <c r="E21" s="47" t="s">
        <v>226</v>
      </c>
      <c r="F21" s="48">
        <v>557553982</v>
      </c>
      <c r="G21" s="245" t="s">
        <v>397</v>
      </c>
      <c r="H21" s="47" t="s">
        <v>63</v>
      </c>
      <c r="I21" s="54" t="s">
        <v>53</v>
      </c>
      <c r="J21" s="47" t="s">
        <v>53</v>
      </c>
      <c r="K21" s="228" t="s">
        <v>7</v>
      </c>
      <c r="L21" s="45">
        <v>1</v>
      </c>
      <c r="M21" s="250" t="s">
        <v>302</v>
      </c>
    </row>
    <row r="22" spans="1:13" ht="23.4">
      <c r="A22" s="266">
        <v>4</v>
      </c>
      <c r="B22" s="242">
        <v>1768</v>
      </c>
      <c r="C22" s="242" t="s">
        <v>1377</v>
      </c>
      <c r="D22" s="47">
        <v>1045321450</v>
      </c>
      <c r="E22" s="47" t="s">
        <v>226</v>
      </c>
      <c r="F22" s="48">
        <v>563268883</v>
      </c>
      <c r="G22" s="245" t="s">
        <v>1378</v>
      </c>
      <c r="H22" s="47" t="s">
        <v>63</v>
      </c>
      <c r="I22" s="49" t="s">
        <v>77</v>
      </c>
      <c r="J22" s="49" t="s">
        <v>77</v>
      </c>
      <c r="K22" s="69" t="s">
        <v>7</v>
      </c>
      <c r="L22" s="45">
        <v>1</v>
      </c>
      <c r="M22" s="250" t="s">
        <v>68</v>
      </c>
    </row>
    <row r="23" spans="1:13" ht="23.4">
      <c r="A23" s="266">
        <v>5</v>
      </c>
      <c r="B23" s="521"/>
      <c r="C23" s="242" t="s">
        <v>1785</v>
      </c>
      <c r="D23" s="47"/>
      <c r="E23" s="47"/>
      <c r="F23" s="48"/>
      <c r="G23" s="245"/>
      <c r="H23" s="47"/>
      <c r="I23" s="49"/>
      <c r="J23" s="49"/>
      <c r="K23" s="522"/>
      <c r="L23" s="45"/>
      <c r="M23" s="250"/>
    </row>
    <row r="24" spans="1:13" ht="23.4">
      <c r="A24" s="266">
        <v>6</v>
      </c>
      <c r="B24" s="155">
        <v>3409</v>
      </c>
      <c r="C24" s="47" t="s">
        <v>402</v>
      </c>
      <c r="D24" s="47">
        <v>1085724225</v>
      </c>
      <c r="E24" s="47" t="s">
        <v>226</v>
      </c>
      <c r="F24" s="48">
        <v>533260893</v>
      </c>
      <c r="G24" s="245" t="s">
        <v>403</v>
      </c>
      <c r="H24" s="47" t="s">
        <v>63</v>
      </c>
      <c r="I24" s="45" t="s">
        <v>55</v>
      </c>
      <c r="J24" s="47" t="s">
        <v>57</v>
      </c>
      <c r="K24" s="228" t="s">
        <v>7</v>
      </c>
      <c r="L24" s="222">
        <v>0</v>
      </c>
      <c r="M24" s="250"/>
    </row>
    <row r="25" spans="1:13" ht="23.4">
      <c r="A25" s="266">
        <v>7</v>
      </c>
      <c r="B25" s="155">
        <v>3213</v>
      </c>
      <c r="C25" s="47" t="s">
        <v>419</v>
      </c>
      <c r="D25" s="47">
        <v>1058962182</v>
      </c>
      <c r="E25" s="47" t="s">
        <v>226</v>
      </c>
      <c r="F25" s="48">
        <v>508187827</v>
      </c>
      <c r="G25" s="245" t="s">
        <v>420</v>
      </c>
      <c r="H25" s="47" t="s">
        <v>63</v>
      </c>
      <c r="I25" s="49" t="s">
        <v>421</v>
      </c>
      <c r="J25" s="47" t="s">
        <v>364</v>
      </c>
      <c r="K25" s="69" t="s">
        <v>7</v>
      </c>
      <c r="L25" s="45">
        <v>1</v>
      </c>
      <c r="M25" s="250" t="s">
        <v>1403</v>
      </c>
    </row>
    <row r="26" spans="1:13" ht="23.4">
      <c r="A26" s="266">
        <v>8</v>
      </c>
      <c r="B26" s="155">
        <v>3284</v>
      </c>
      <c r="C26" s="47" t="s">
        <v>422</v>
      </c>
      <c r="D26" s="47">
        <v>1067909166</v>
      </c>
      <c r="E26" s="47" t="s">
        <v>226</v>
      </c>
      <c r="F26" s="48">
        <v>533350378</v>
      </c>
      <c r="G26" s="245" t="s">
        <v>533</v>
      </c>
      <c r="H26" s="47" t="s">
        <v>63</v>
      </c>
      <c r="I26" s="49" t="s">
        <v>423</v>
      </c>
      <c r="J26" s="47" t="s">
        <v>79</v>
      </c>
      <c r="K26" s="69" t="s">
        <v>7</v>
      </c>
      <c r="L26" s="222">
        <v>0</v>
      </c>
      <c r="M26" s="260" t="s">
        <v>60</v>
      </c>
    </row>
    <row r="27" spans="1:13" ht="23.4">
      <c r="A27" s="266">
        <v>9</v>
      </c>
      <c r="B27" s="242">
        <v>4840</v>
      </c>
      <c r="C27" s="242" t="s">
        <v>1390</v>
      </c>
      <c r="D27" s="47">
        <v>1093886594</v>
      </c>
      <c r="E27" s="47" t="s">
        <v>226</v>
      </c>
      <c r="F27" s="48">
        <v>556970857</v>
      </c>
      <c r="G27" s="245" t="s">
        <v>1391</v>
      </c>
      <c r="H27" s="47" t="s">
        <v>63</v>
      </c>
      <c r="I27" s="49" t="s">
        <v>389</v>
      </c>
      <c r="J27" s="47" t="s">
        <v>1370</v>
      </c>
      <c r="K27" s="69" t="s">
        <v>7</v>
      </c>
      <c r="L27" s="45">
        <v>1</v>
      </c>
      <c r="M27" s="250"/>
    </row>
    <row r="28" spans="1:13" ht="23.4">
      <c r="A28" s="266">
        <v>10</v>
      </c>
      <c r="B28" s="155">
        <v>3847</v>
      </c>
      <c r="C28" s="47" t="s">
        <v>424</v>
      </c>
      <c r="D28" s="47" t="s">
        <v>425</v>
      </c>
      <c r="E28" s="175" t="s">
        <v>387</v>
      </c>
      <c r="F28" s="48">
        <v>548221528</v>
      </c>
      <c r="G28" s="245" t="s">
        <v>1374</v>
      </c>
      <c r="H28" s="47" t="s">
        <v>63</v>
      </c>
      <c r="I28" s="49" t="s">
        <v>1312</v>
      </c>
      <c r="J28" s="47" t="s">
        <v>156</v>
      </c>
      <c r="K28" s="69" t="s">
        <v>7</v>
      </c>
      <c r="L28" s="45">
        <v>0</v>
      </c>
      <c r="M28" s="257" t="s">
        <v>68</v>
      </c>
    </row>
    <row r="29" spans="1:13" ht="15.75" customHeight="1">
      <c r="A29" s="229"/>
      <c r="B29" s="230"/>
      <c r="C29" s="230"/>
      <c r="D29" s="230"/>
      <c r="E29" s="230"/>
      <c r="F29" s="230"/>
      <c r="G29" s="230"/>
      <c r="H29" s="230"/>
      <c r="I29" s="230"/>
      <c r="J29" s="230"/>
      <c r="K29" s="231"/>
      <c r="L29" s="230"/>
      <c r="M29" s="230"/>
    </row>
    <row r="30" spans="1:13" hidden="1"/>
    <row r="33" spans="1:11" s="27" customFormat="1" ht="21.75" customHeight="1">
      <c r="A33" s="156"/>
      <c r="C33" s="157"/>
      <c r="D33" s="615"/>
      <c r="E33" s="615"/>
      <c r="G33" s="624" t="s">
        <v>0</v>
      </c>
      <c r="H33" s="624" t="s">
        <v>210</v>
      </c>
      <c r="I33" s="624"/>
      <c r="J33" s="625" t="s">
        <v>224</v>
      </c>
      <c r="K33" s="627" t="s">
        <v>1309</v>
      </c>
    </row>
    <row r="34" spans="1:11" s="27" customFormat="1" ht="21" customHeight="1">
      <c r="A34" s="156"/>
      <c r="C34" s="157"/>
      <c r="D34" s="615"/>
      <c r="E34" s="615"/>
      <c r="G34" s="624"/>
      <c r="H34" s="177" t="s">
        <v>12</v>
      </c>
      <c r="I34" s="177" t="s">
        <v>13</v>
      </c>
      <c r="J34" s="626"/>
      <c r="K34" s="627"/>
    </row>
    <row r="35" spans="1:11" ht="31.05" customHeight="1">
      <c r="G35" s="76" t="s">
        <v>2</v>
      </c>
      <c r="H35" s="142">
        <v>2</v>
      </c>
      <c r="I35" s="142">
        <v>0</v>
      </c>
      <c r="J35" s="142">
        <f>SUM(H35:I35)</f>
        <v>2</v>
      </c>
      <c r="K35" s="76">
        <f>SUM(L4:L5)</f>
        <v>2</v>
      </c>
    </row>
    <row r="36" spans="1:11" ht="31.05" customHeight="1">
      <c r="G36" s="76" t="s">
        <v>42</v>
      </c>
      <c r="H36" s="142">
        <v>8</v>
      </c>
      <c r="I36" s="142">
        <v>1</v>
      </c>
      <c r="J36" s="142">
        <f t="shared" ref="J36:J38" si="0">SUM(H36:I36)</f>
        <v>9</v>
      </c>
      <c r="K36" s="76">
        <f>SUM(L6:L14)</f>
        <v>6</v>
      </c>
    </row>
    <row r="37" spans="1:11" ht="31.05" customHeight="1">
      <c r="G37" s="76" t="s">
        <v>44</v>
      </c>
      <c r="H37" s="142">
        <v>4</v>
      </c>
      <c r="I37" s="142">
        <v>0</v>
      </c>
      <c r="J37" s="142">
        <f t="shared" si="0"/>
        <v>4</v>
      </c>
      <c r="K37" s="76">
        <f>SUM(L15:L18)</f>
        <v>4</v>
      </c>
    </row>
    <row r="38" spans="1:11" ht="31.05" customHeight="1">
      <c r="G38" s="76" t="s">
        <v>46</v>
      </c>
      <c r="H38" s="142">
        <v>9</v>
      </c>
      <c r="I38" s="142">
        <v>1</v>
      </c>
      <c r="J38" s="142">
        <f t="shared" si="0"/>
        <v>10</v>
      </c>
      <c r="K38" s="76">
        <f>SUM(L19:L28)</f>
        <v>4</v>
      </c>
    </row>
    <row r="39" spans="1:11" ht="30.75" customHeight="1">
      <c r="G39" s="140" t="s">
        <v>373</v>
      </c>
      <c r="H39" s="144">
        <f>SUM(H35:H38)</f>
        <v>23</v>
      </c>
      <c r="I39" s="145">
        <f>SUM(I35:I38)</f>
        <v>2</v>
      </c>
      <c r="J39" s="144">
        <f>SUM(J35:J38)</f>
        <v>25</v>
      </c>
      <c r="K39" s="138">
        <f>SUM(K35:K38)</f>
        <v>16</v>
      </c>
    </row>
  </sheetData>
  <autoFilter ref="B3:M62" xr:uid="{00000000-0001-0000-0800-000000000000}"/>
  <mergeCells count="8">
    <mergeCell ref="A1:A3"/>
    <mergeCell ref="B1:M2"/>
    <mergeCell ref="D33:E33"/>
    <mergeCell ref="G33:G34"/>
    <mergeCell ref="H33:I33"/>
    <mergeCell ref="J33:J34"/>
    <mergeCell ref="K33:K34"/>
    <mergeCell ref="D34:E34"/>
  </mergeCells>
  <hyperlinks>
    <hyperlink ref="G4" r:id="rId1" xr:uid="{EF934299-4285-874D-97F3-70FFC2934D03}"/>
    <hyperlink ref="G5" r:id="rId2" xr:uid="{FCDA5016-A8A4-AF4B-B581-91A493302EB3}"/>
    <hyperlink ref="G18" r:id="rId3" xr:uid="{0B653AD7-D401-434E-84EF-1D3257BCC551}"/>
    <hyperlink ref="G11" r:id="rId4" xr:uid="{EF5EF049-C4FA-ED4B-B4B1-C9DD7F5D8BE4}"/>
  </hyperlinks>
  <pageMargins left="0.15748031496062992" right="0.15748031496062992" top="0.23622047244094491" bottom="0.35433070866141736" header="0.31496062992125984" footer="0.31496062992125984"/>
  <pageSetup paperSize="9" scale="50"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B0A05-F279-D24E-BDDC-944CE8AD13C5}">
  <sheetPr>
    <tabColor rgb="FF65F52B"/>
  </sheetPr>
  <dimension ref="B1:L7"/>
  <sheetViews>
    <sheetView rightToLeft="1" workbookViewId="0">
      <selection activeCell="G20" sqref="G20"/>
    </sheetView>
  </sheetViews>
  <sheetFormatPr defaultColWidth="11.19921875" defaultRowHeight="13.8"/>
  <cols>
    <col min="2" max="2" width="10.69921875" customWidth="1"/>
    <col min="3" max="3" width="28.19921875" customWidth="1"/>
    <col min="4" max="4" width="18" customWidth="1"/>
    <col min="5" max="5" width="21.19921875" customWidth="1"/>
    <col min="6" max="6" width="16.69921875" customWidth="1"/>
    <col min="7" max="7" width="22.796875" customWidth="1"/>
    <col min="8" max="8" width="22.296875" customWidth="1"/>
    <col min="9" max="9" width="37.796875" customWidth="1"/>
    <col min="10" max="10" width="19" customWidth="1"/>
    <col min="11" max="11" width="14.19921875" customWidth="1"/>
    <col min="12" max="12" width="14.69921875" customWidth="1"/>
  </cols>
  <sheetData>
    <row r="1" spans="2:12" ht="30.6" thickBot="1">
      <c r="B1" s="628" t="s">
        <v>34</v>
      </c>
      <c r="C1" s="628"/>
      <c r="D1" s="628"/>
      <c r="E1" s="628"/>
      <c r="F1" s="628"/>
      <c r="G1" s="628"/>
      <c r="H1" s="628"/>
      <c r="I1" s="628"/>
      <c r="J1" s="628"/>
      <c r="K1" s="628"/>
      <c r="L1" s="629"/>
    </row>
    <row r="2" spans="2:12" ht="34.049999999999997" customHeight="1">
      <c r="B2" s="401" t="s">
        <v>428</v>
      </c>
      <c r="C2" s="402" t="s">
        <v>185</v>
      </c>
      <c r="D2" s="402" t="s">
        <v>171</v>
      </c>
      <c r="E2" s="402" t="s">
        <v>152</v>
      </c>
      <c r="F2" s="402" t="s">
        <v>48</v>
      </c>
      <c r="G2" s="402" t="s">
        <v>49</v>
      </c>
      <c r="H2" s="402" t="s">
        <v>169</v>
      </c>
      <c r="I2" s="402" t="s">
        <v>170</v>
      </c>
      <c r="J2" s="402" t="s">
        <v>50</v>
      </c>
      <c r="K2" s="402" t="s">
        <v>51</v>
      </c>
      <c r="L2" s="403" t="s">
        <v>1670</v>
      </c>
    </row>
    <row r="3" spans="2:12" ht="23.4">
      <c r="B3" s="76">
        <v>4600</v>
      </c>
      <c r="C3" s="76" t="s">
        <v>1676</v>
      </c>
      <c r="D3" s="47" t="s">
        <v>71</v>
      </c>
      <c r="E3" s="47" t="s">
        <v>149</v>
      </c>
      <c r="F3" s="216"/>
      <c r="G3" s="47" t="s">
        <v>226</v>
      </c>
      <c r="H3" s="218"/>
      <c r="I3" s="242" t="s">
        <v>1677</v>
      </c>
      <c r="J3" s="219" t="s">
        <v>63</v>
      </c>
      <c r="K3" s="220" t="s">
        <v>215</v>
      </c>
      <c r="L3" s="178"/>
    </row>
    <row r="4" spans="2:12" ht="24" thickBot="1">
      <c r="B4" s="191">
        <v>21</v>
      </c>
      <c r="C4" s="404" t="s">
        <v>1671</v>
      </c>
      <c r="D4" s="47" t="s">
        <v>1672</v>
      </c>
      <c r="E4" s="47" t="s">
        <v>149</v>
      </c>
      <c r="F4" s="216">
        <v>2295980011</v>
      </c>
      <c r="G4" s="47" t="s">
        <v>449</v>
      </c>
      <c r="H4" s="218">
        <v>595617259</v>
      </c>
      <c r="I4" s="242" t="s">
        <v>1675</v>
      </c>
      <c r="J4" s="49" t="s">
        <v>63</v>
      </c>
      <c r="K4" s="49" t="s">
        <v>57</v>
      </c>
      <c r="L4" s="178"/>
    </row>
    <row r="5" spans="2:12" ht="24.6" thickTop="1" thickBot="1">
      <c r="B5" s="242">
        <v>185</v>
      </c>
      <c r="C5" s="242" t="s">
        <v>418</v>
      </c>
      <c r="D5" s="47" t="s">
        <v>1616</v>
      </c>
      <c r="E5" s="47" t="s">
        <v>1674</v>
      </c>
      <c r="F5" s="48"/>
      <c r="G5" s="47" t="s">
        <v>226</v>
      </c>
      <c r="H5" s="48"/>
      <c r="I5" s="242" t="s">
        <v>1678</v>
      </c>
      <c r="J5" s="160"/>
      <c r="K5" s="49"/>
      <c r="L5" s="178"/>
    </row>
    <row r="6" spans="2:12" ht="24.6" thickTop="1" thickBot="1">
      <c r="B6" s="190">
        <v>114</v>
      </c>
      <c r="C6" s="404" t="s">
        <v>73</v>
      </c>
      <c r="D6" s="47" t="s">
        <v>1616</v>
      </c>
      <c r="E6" s="47" t="s">
        <v>1673</v>
      </c>
      <c r="F6" s="48">
        <v>2372202024</v>
      </c>
      <c r="G6" s="47" t="s">
        <v>449</v>
      </c>
      <c r="H6" s="48">
        <v>531504194</v>
      </c>
      <c r="I6" s="242" t="s">
        <v>176</v>
      </c>
      <c r="J6" s="160" t="s">
        <v>74</v>
      </c>
      <c r="K6" s="49" t="s">
        <v>53</v>
      </c>
      <c r="L6" s="178"/>
    </row>
    <row r="7" spans="2:12" ht="14.4" thickTop="1"/>
  </sheetData>
  <mergeCells count="1">
    <mergeCell ref="B1:L1"/>
  </mergeCells>
  <hyperlinks>
    <hyperlink ref="I6" r:id="rId1" xr:uid="{F737F7B4-80DB-0F41-882E-3CB66EBABF11}"/>
    <hyperlink ref="I4" r:id="rId2" xr:uid="{DFBC30DD-69D1-E246-9C45-A3F27BAD52D0}"/>
  </hyperlinks>
  <pageMargins left="0.7" right="0.7" top="0.75" bottom="0.75" header="0.3" footer="0.3"/>
  <pageSetup paperSize="9" orientation="portrait" horizontalDpi="0" verticalDpi="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1ED0-0404-B048-9B4C-09FEA0D8F38C}">
  <sheetPr>
    <tabColor rgb="FF65F52B"/>
  </sheetPr>
  <dimension ref="A1:W161"/>
  <sheetViews>
    <sheetView rightToLeft="1" zoomScaleNormal="70" workbookViewId="0"/>
  </sheetViews>
  <sheetFormatPr defaultColWidth="8.796875" defaultRowHeight="13.8"/>
  <cols>
    <col min="2" max="2" width="9.796875" customWidth="1"/>
    <col min="3" max="3" width="27" bestFit="1" customWidth="1"/>
    <col min="4" max="4" width="14.69921875" bestFit="1" customWidth="1"/>
    <col min="5" max="5" width="12.296875" customWidth="1"/>
    <col min="6" max="6" width="17.5" customWidth="1"/>
    <col min="7" max="7" width="15" customWidth="1"/>
    <col min="8" max="8" width="14" customWidth="1"/>
    <col min="9" max="9" width="48.296875" customWidth="1"/>
    <col min="10" max="10" width="22" customWidth="1"/>
    <col min="11" max="11" width="15.69921875" customWidth="1"/>
    <col min="12" max="12" width="15.19921875" customWidth="1"/>
  </cols>
  <sheetData>
    <row r="1" spans="1:23" ht="39" customHeight="1" thickBot="1">
      <c r="B1" s="628" t="s">
        <v>1771</v>
      </c>
      <c r="C1" s="628"/>
      <c r="D1" s="628"/>
      <c r="E1" s="628"/>
      <c r="F1" s="628"/>
      <c r="G1" s="628"/>
      <c r="H1" s="628"/>
      <c r="I1" s="628"/>
      <c r="J1" s="628"/>
      <c r="K1" s="628"/>
      <c r="L1" s="629"/>
    </row>
    <row r="2" spans="1:23" ht="30.75" customHeight="1" thickBot="1">
      <c r="A2" s="55"/>
      <c r="B2" s="628" t="s">
        <v>1768</v>
      </c>
      <c r="C2" s="628"/>
      <c r="D2" s="628"/>
      <c r="E2" s="628"/>
      <c r="F2" s="628"/>
      <c r="G2" s="628"/>
      <c r="H2" s="628"/>
      <c r="I2" s="628"/>
      <c r="J2" s="628"/>
      <c r="K2" s="630"/>
      <c r="L2" s="629"/>
      <c r="M2" s="52"/>
      <c r="N2" s="57"/>
      <c r="O2" s="55"/>
      <c r="P2" s="55"/>
      <c r="Q2" s="55"/>
      <c r="R2" s="55"/>
      <c r="S2" s="55"/>
      <c r="T2" s="55"/>
      <c r="U2" s="55"/>
      <c r="V2" s="55"/>
      <c r="W2" s="56"/>
    </row>
    <row r="3" spans="1:23" ht="30.75" customHeight="1">
      <c r="A3" s="55"/>
      <c r="B3" s="487" t="s">
        <v>428</v>
      </c>
      <c r="C3" s="488" t="s">
        <v>185</v>
      </c>
      <c r="D3" s="488" t="s">
        <v>171</v>
      </c>
      <c r="E3" s="488" t="s">
        <v>152</v>
      </c>
      <c r="F3" s="488" t="s">
        <v>48</v>
      </c>
      <c r="G3" s="488" t="s">
        <v>49</v>
      </c>
      <c r="H3" s="488" t="s">
        <v>169</v>
      </c>
      <c r="I3" s="488" t="s">
        <v>170</v>
      </c>
      <c r="J3" s="488" t="s">
        <v>50</v>
      </c>
      <c r="K3" s="53" t="s">
        <v>51</v>
      </c>
      <c r="L3" s="496" t="s">
        <v>1309</v>
      </c>
      <c r="M3" s="52"/>
      <c r="N3" s="57"/>
      <c r="O3" s="55"/>
      <c r="P3" s="55"/>
      <c r="Q3" s="55"/>
      <c r="R3" s="55"/>
      <c r="S3" s="55"/>
      <c r="T3" s="55"/>
      <c r="U3" s="55"/>
      <c r="V3" s="55"/>
      <c r="W3" s="56"/>
    </row>
    <row r="4" spans="1:23" ht="30.75" customHeight="1">
      <c r="A4" s="55"/>
      <c r="B4" s="190">
        <v>24</v>
      </c>
      <c r="C4" s="404" t="s">
        <v>447</v>
      </c>
      <c r="D4" s="47" t="s">
        <v>71</v>
      </c>
      <c r="E4" s="47" t="s">
        <v>448</v>
      </c>
      <c r="F4" s="216">
        <v>2312391994</v>
      </c>
      <c r="G4" s="217" t="s">
        <v>449</v>
      </c>
      <c r="H4" s="218">
        <v>541219474</v>
      </c>
      <c r="I4" s="242" t="s">
        <v>1665</v>
      </c>
      <c r="J4" s="219" t="s">
        <v>63</v>
      </c>
      <c r="K4" s="220" t="s">
        <v>57</v>
      </c>
      <c r="L4" s="497"/>
      <c r="M4" s="52"/>
      <c r="N4" s="57"/>
      <c r="O4" s="55"/>
      <c r="P4" s="55"/>
      <c r="Q4" s="55"/>
      <c r="R4" s="55"/>
      <c r="S4" s="55"/>
      <c r="T4" s="55"/>
      <c r="U4" s="55"/>
      <c r="V4" s="55"/>
      <c r="W4" s="56"/>
    </row>
    <row r="5" spans="1:23" ht="30.75" customHeight="1">
      <c r="A5" s="55"/>
      <c r="B5" s="191">
        <v>80</v>
      </c>
      <c r="C5" s="404" t="s">
        <v>450</v>
      </c>
      <c r="D5" s="47" t="s">
        <v>71</v>
      </c>
      <c r="E5" s="47" t="s">
        <v>29</v>
      </c>
      <c r="F5" s="48">
        <v>2576598045</v>
      </c>
      <c r="G5" s="47" t="s">
        <v>451</v>
      </c>
      <c r="H5" s="48">
        <v>535311347</v>
      </c>
      <c r="I5" s="242" t="s">
        <v>1666</v>
      </c>
      <c r="J5" s="494" t="s">
        <v>63</v>
      </c>
      <c r="K5" s="49" t="s">
        <v>79</v>
      </c>
      <c r="L5" s="497"/>
      <c r="M5" s="52"/>
      <c r="N5" s="57"/>
      <c r="O5" s="55"/>
      <c r="P5" s="55"/>
      <c r="Q5" s="55"/>
      <c r="R5" s="55"/>
      <c r="S5" s="55"/>
      <c r="T5" s="55"/>
      <c r="U5" s="55"/>
      <c r="V5" s="55"/>
      <c r="W5" s="56"/>
    </row>
    <row r="6" spans="1:23" ht="30.75" customHeight="1">
      <c r="A6" s="55"/>
      <c r="B6" s="190">
        <v>3503</v>
      </c>
      <c r="C6" s="404" t="s">
        <v>539</v>
      </c>
      <c r="D6" s="47" t="s">
        <v>72</v>
      </c>
      <c r="E6" s="47" t="s">
        <v>448</v>
      </c>
      <c r="F6" s="48"/>
      <c r="G6" s="47" t="s">
        <v>449</v>
      </c>
      <c r="H6" s="48"/>
      <c r="I6" s="493" t="s">
        <v>1667</v>
      </c>
      <c r="J6" s="492" t="s">
        <v>1663</v>
      </c>
      <c r="K6" s="49" t="s">
        <v>1662</v>
      </c>
      <c r="L6" s="497"/>
      <c r="M6" s="52"/>
      <c r="N6" s="57"/>
      <c r="O6" s="55"/>
      <c r="P6" s="55"/>
      <c r="Q6" s="55"/>
      <c r="R6" s="55"/>
      <c r="S6" s="55"/>
      <c r="T6" s="55"/>
      <c r="U6" s="55"/>
      <c r="V6" s="55"/>
      <c r="W6" s="56"/>
    </row>
    <row r="7" spans="1:23" ht="30.75" customHeight="1" thickBot="1">
      <c r="A7" s="55"/>
      <c r="B7" s="500"/>
      <c r="C7" s="501"/>
      <c r="D7" s="502"/>
      <c r="E7" s="502"/>
      <c r="F7" s="503"/>
      <c r="G7" s="502"/>
      <c r="H7" s="503"/>
      <c r="I7" s="504"/>
      <c r="J7" s="188"/>
      <c r="K7" s="494"/>
      <c r="L7" s="505"/>
      <c r="M7" s="52"/>
      <c r="N7" s="57"/>
      <c r="O7" s="55"/>
      <c r="P7" s="55"/>
      <c r="Q7" s="55"/>
      <c r="R7" s="55"/>
      <c r="S7" s="55"/>
      <c r="T7" s="55"/>
      <c r="U7" s="55"/>
      <c r="V7" s="55"/>
      <c r="W7" s="56"/>
    </row>
    <row r="8" spans="1:23" ht="30.75" customHeight="1" thickBot="1">
      <c r="A8" s="55"/>
      <c r="B8" s="631" t="s">
        <v>1769</v>
      </c>
      <c r="C8" s="632"/>
      <c r="D8" s="632"/>
      <c r="E8" s="632"/>
      <c r="F8" s="632"/>
      <c r="G8" s="632"/>
      <c r="H8" s="632"/>
      <c r="I8" s="632"/>
      <c r="J8" s="632"/>
      <c r="K8" s="632"/>
      <c r="L8" s="633"/>
      <c r="M8" s="52"/>
      <c r="N8" s="57"/>
      <c r="O8" s="55"/>
      <c r="P8" s="55"/>
      <c r="Q8" s="55"/>
      <c r="R8" s="55"/>
      <c r="S8" s="55"/>
      <c r="T8" s="55"/>
      <c r="U8" s="55"/>
      <c r="V8" s="55"/>
      <c r="W8" s="56"/>
    </row>
    <row r="9" spans="1:23" ht="30.75" customHeight="1">
      <c r="A9" s="55"/>
      <c r="B9" s="487" t="s">
        <v>428</v>
      </c>
      <c r="C9" s="488" t="s">
        <v>185</v>
      </c>
      <c r="D9" s="488" t="s">
        <v>171</v>
      </c>
      <c r="E9" s="488" t="s">
        <v>152</v>
      </c>
      <c r="F9" s="488" t="s">
        <v>48</v>
      </c>
      <c r="G9" s="488" t="s">
        <v>49</v>
      </c>
      <c r="H9" s="488" t="s">
        <v>169</v>
      </c>
      <c r="I9" s="488" t="s">
        <v>170</v>
      </c>
      <c r="J9" s="490" t="s">
        <v>50</v>
      </c>
      <c r="K9" s="488" t="s">
        <v>51</v>
      </c>
      <c r="L9" s="496" t="s">
        <v>1309</v>
      </c>
      <c r="M9" s="52"/>
      <c r="N9" s="57"/>
      <c r="O9" s="55"/>
      <c r="P9" s="55"/>
      <c r="Q9" s="55"/>
      <c r="R9" s="55"/>
      <c r="S9" s="55"/>
      <c r="T9" s="55"/>
      <c r="U9" s="55"/>
      <c r="V9" s="55"/>
      <c r="W9" s="56"/>
    </row>
    <row r="10" spans="1:23" ht="30.75" customHeight="1">
      <c r="A10" s="55"/>
      <c r="B10" s="45">
        <v>93</v>
      </c>
      <c r="C10" s="50" t="s">
        <v>136</v>
      </c>
      <c r="D10" s="159" t="s">
        <v>71</v>
      </c>
      <c r="E10" s="159" t="s">
        <v>30</v>
      </c>
      <c r="F10" s="45">
        <v>2295725507</v>
      </c>
      <c r="G10" s="161" t="s">
        <v>118</v>
      </c>
      <c r="H10" s="45">
        <v>538774812</v>
      </c>
      <c r="I10" s="489" t="s">
        <v>175</v>
      </c>
      <c r="J10" s="492" t="s">
        <v>67</v>
      </c>
      <c r="K10" s="163" t="s">
        <v>68</v>
      </c>
      <c r="L10" s="162"/>
      <c r="M10" s="55"/>
      <c r="N10" s="55"/>
      <c r="O10" s="55"/>
      <c r="P10" s="55"/>
      <c r="Q10" s="55"/>
      <c r="R10" s="55"/>
      <c r="S10" s="55"/>
      <c r="T10" s="55"/>
      <c r="U10" s="55"/>
      <c r="V10" s="55"/>
      <c r="W10" s="56"/>
    </row>
    <row r="11" spans="1:23" ht="30.75" customHeight="1">
      <c r="A11" s="55"/>
      <c r="B11" s="45">
        <v>4033</v>
      </c>
      <c r="C11" s="50" t="s">
        <v>384</v>
      </c>
      <c r="D11" s="159" t="s">
        <v>52</v>
      </c>
      <c r="E11" s="49" t="s">
        <v>30</v>
      </c>
      <c r="F11" s="48">
        <v>1107682567</v>
      </c>
      <c r="G11" s="47" t="s">
        <v>12</v>
      </c>
      <c r="H11" s="48">
        <v>533977767</v>
      </c>
      <c r="I11" s="45" t="s">
        <v>385</v>
      </c>
      <c r="J11" s="491" t="s">
        <v>63</v>
      </c>
      <c r="K11" s="163" t="s">
        <v>64</v>
      </c>
      <c r="L11" s="498"/>
      <c r="M11" s="55"/>
      <c r="N11" s="55"/>
      <c r="O11" s="55"/>
      <c r="P11" s="55"/>
      <c r="Q11" s="55"/>
      <c r="R11" s="55"/>
      <c r="S11" s="55"/>
      <c r="T11" s="55"/>
      <c r="U11" s="55"/>
      <c r="V11" s="55"/>
      <c r="W11" s="56"/>
    </row>
    <row r="12" spans="1:23" ht="30.75" customHeight="1" thickBot="1">
      <c r="A12" s="55"/>
      <c r="B12" s="158"/>
      <c r="C12" s="179"/>
      <c r="D12" s="47"/>
      <c r="E12" s="47"/>
      <c r="F12" s="48"/>
      <c r="G12" s="47"/>
      <c r="H12" s="48"/>
      <c r="I12" s="45"/>
      <c r="J12" s="49"/>
      <c r="K12" s="49"/>
      <c r="L12" s="497"/>
      <c r="M12" s="55"/>
      <c r="N12" s="55"/>
      <c r="O12" s="55"/>
      <c r="P12" s="55"/>
      <c r="Q12" s="55"/>
      <c r="R12" s="55"/>
      <c r="S12" s="55"/>
      <c r="T12" s="55"/>
      <c r="U12" s="55"/>
      <c r="V12" s="55"/>
      <c r="W12" s="56"/>
    </row>
    <row r="13" spans="1:23" ht="30.75" customHeight="1" thickBot="1">
      <c r="A13" s="55"/>
      <c r="B13" s="631" t="s">
        <v>1770</v>
      </c>
      <c r="C13" s="632"/>
      <c r="D13" s="632"/>
      <c r="E13" s="632"/>
      <c r="F13" s="632"/>
      <c r="G13" s="632"/>
      <c r="H13" s="632"/>
      <c r="I13" s="632"/>
      <c r="J13" s="632"/>
      <c r="K13" s="632"/>
      <c r="L13" s="633"/>
      <c r="M13" s="55"/>
      <c r="N13" s="55"/>
      <c r="O13" s="55"/>
      <c r="P13" s="55"/>
      <c r="Q13" s="55"/>
      <c r="R13" s="55"/>
      <c r="S13" s="55"/>
      <c r="T13" s="55"/>
      <c r="U13" s="55"/>
      <c r="V13" s="55"/>
      <c r="W13" s="56"/>
    </row>
    <row r="14" spans="1:23" ht="30.75" customHeight="1">
      <c r="A14" s="55"/>
      <c r="B14" s="487" t="s">
        <v>428</v>
      </c>
      <c r="C14" s="488" t="s">
        <v>185</v>
      </c>
      <c r="D14" s="488" t="s">
        <v>171</v>
      </c>
      <c r="E14" s="488" t="s">
        <v>152</v>
      </c>
      <c r="F14" s="488" t="s">
        <v>48</v>
      </c>
      <c r="G14" s="488" t="s">
        <v>49</v>
      </c>
      <c r="H14" s="488" t="s">
        <v>169</v>
      </c>
      <c r="I14" s="488" t="s">
        <v>170</v>
      </c>
      <c r="J14" s="490" t="s">
        <v>50</v>
      </c>
      <c r="K14" s="488" t="s">
        <v>51</v>
      </c>
      <c r="L14" s="496" t="s">
        <v>1309</v>
      </c>
      <c r="M14" s="55"/>
      <c r="N14" s="55"/>
      <c r="O14" s="55"/>
      <c r="P14" s="55"/>
      <c r="Q14" s="55"/>
      <c r="R14" s="55"/>
      <c r="S14" s="55"/>
      <c r="T14" s="55"/>
      <c r="U14" s="55"/>
      <c r="V14" s="55"/>
      <c r="W14" s="56"/>
    </row>
    <row r="15" spans="1:23" ht="30.75" customHeight="1">
      <c r="A15" s="55"/>
      <c r="B15" s="45">
        <v>165</v>
      </c>
      <c r="C15" s="159" t="s">
        <v>192</v>
      </c>
      <c r="D15" s="159" t="s">
        <v>193</v>
      </c>
      <c r="E15" s="159" t="s">
        <v>30</v>
      </c>
      <c r="F15" s="51">
        <v>1086111679</v>
      </c>
      <c r="G15" s="159" t="s">
        <v>113</v>
      </c>
      <c r="H15" s="51">
        <v>545389278</v>
      </c>
      <c r="I15" s="489" t="s">
        <v>194</v>
      </c>
      <c r="J15" s="492" t="s">
        <v>65</v>
      </c>
      <c r="K15" s="163" t="s">
        <v>64</v>
      </c>
      <c r="L15" s="162"/>
      <c r="M15" s="55"/>
      <c r="N15" s="55"/>
      <c r="O15" s="55"/>
      <c r="P15" s="55"/>
      <c r="Q15" s="55"/>
      <c r="R15" s="55"/>
      <c r="S15" s="55"/>
      <c r="T15" s="55"/>
      <c r="U15" s="55"/>
      <c r="V15" s="55"/>
      <c r="W15" s="56"/>
    </row>
    <row r="16" spans="1:23" ht="30.75" customHeight="1">
      <c r="A16" s="55"/>
      <c r="B16" s="191">
        <v>89</v>
      </c>
      <c r="C16" s="159" t="s">
        <v>452</v>
      </c>
      <c r="D16" s="47" t="s">
        <v>453</v>
      </c>
      <c r="E16" s="47" t="s">
        <v>30</v>
      </c>
      <c r="F16" s="48">
        <v>2295984575</v>
      </c>
      <c r="G16" s="47" t="s">
        <v>454</v>
      </c>
      <c r="H16" s="48">
        <v>546786061</v>
      </c>
      <c r="I16" s="45" t="s">
        <v>455</v>
      </c>
      <c r="J16" s="495" t="s">
        <v>456</v>
      </c>
      <c r="K16" s="49" t="s">
        <v>388</v>
      </c>
      <c r="L16" s="497"/>
      <c r="M16" s="55"/>
      <c r="N16" s="55"/>
      <c r="O16" s="55"/>
      <c r="P16" s="55"/>
      <c r="Q16" s="55"/>
      <c r="R16" s="55"/>
      <c r="S16" s="55"/>
      <c r="T16" s="55"/>
      <c r="U16" s="55"/>
      <c r="V16" s="55"/>
      <c r="W16" s="56"/>
    </row>
    <row r="17" spans="1:23" ht="30.75" customHeight="1">
      <c r="A17" s="55"/>
      <c r="B17" s="191">
        <v>2625</v>
      </c>
      <c r="C17" s="159" t="s">
        <v>457</v>
      </c>
      <c r="D17" s="47" t="s">
        <v>52</v>
      </c>
      <c r="E17" s="47" t="s">
        <v>30</v>
      </c>
      <c r="F17" s="48">
        <v>1096150808</v>
      </c>
      <c r="G17" s="47" t="s">
        <v>12</v>
      </c>
      <c r="H17" s="48">
        <v>555829588</v>
      </c>
      <c r="I17" s="45" t="s">
        <v>458</v>
      </c>
      <c r="J17" s="49" t="s">
        <v>189</v>
      </c>
      <c r="K17" s="49" t="s">
        <v>459</v>
      </c>
      <c r="L17" s="497"/>
      <c r="M17" s="55"/>
      <c r="N17" s="55"/>
      <c r="O17" s="55"/>
      <c r="P17" s="55"/>
      <c r="Q17" s="55"/>
      <c r="R17" s="55"/>
      <c r="S17" s="55"/>
      <c r="T17" s="55"/>
      <c r="U17" s="55"/>
      <c r="V17" s="55"/>
      <c r="W17" s="56"/>
    </row>
    <row r="18" spans="1:23" ht="30.75" customHeight="1">
      <c r="A18" s="55"/>
      <c r="B18" s="191">
        <v>155</v>
      </c>
      <c r="C18" s="159" t="s">
        <v>460</v>
      </c>
      <c r="D18" s="47" t="s">
        <v>461</v>
      </c>
      <c r="E18" s="47" t="s">
        <v>30</v>
      </c>
      <c r="F18" s="48">
        <v>2396958551</v>
      </c>
      <c r="G18" s="47" t="s">
        <v>454</v>
      </c>
      <c r="H18" s="48">
        <v>582108151</v>
      </c>
      <c r="I18" s="45" t="s">
        <v>462</v>
      </c>
      <c r="J18" s="49" t="s">
        <v>463</v>
      </c>
      <c r="K18" s="49" t="s">
        <v>464</v>
      </c>
      <c r="L18" s="497"/>
      <c r="M18" s="55"/>
      <c r="N18" s="55"/>
      <c r="O18" s="55"/>
      <c r="P18" s="55"/>
      <c r="Q18" s="55"/>
      <c r="R18" s="55"/>
      <c r="S18" s="55"/>
      <c r="T18" s="55"/>
      <c r="U18" s="55"/>
      <c r="V18" s="55"/>
      <c r="W18" s="56"/>
    </row>
    <row r="19" spans="1:23" ht="30.75" customHeight="1">
      <c r="A19" s="55"/>
      <c r="B19" s="191">
        <v>65</v>
      </c>
      <c r="C19" s="159" t="s">
        <v>497</v>
      </c>
      <c r="D19" s="70" t="s">
        <v>155</v>
      </c>
      <c r="E19" s="70" t="s">
        <v>30</v>
      </c>
      <c r="F19" s="70">
        <v>1073686394</v>
      </c>
      <c r="G19" s="70" t="s">
        <v>12</v>
      </c>
      <c r="H19" s="70">
        <v>545069043</v>
      </c>
      <c r="I19" s="242" t="s">
        <v>1664</v>
      </c>
      <c r="J19" s="47" t="s">
        <v>63</v>
      </c>
      <c r="K19" s="47" t="s">
        <v>70</v>
      </c>
      <c r="L19" s="499"/>
      <c r="M19" s="55"/>
      <c r="N19" s="55"/>
      <c r="O19" s="55"/>
      <c r="P19" s="55"/>
      <c r="Q19" s="55"/>
      <c r="R19" s="55"/>
      <c r="S19" s="55"/>
      <c r="T19" s="55"/>
      <c r="U19" s="55"/>
      <c r="V19" s="55"/>
      <c r="W19" s="56"/>
    </row>
    <row r="20" spans="1:23" ht="30.75" customHeight="1">
      <c r="A20" s="55"/>
      <c r="B20" s="45">
        <v>2529</v>
      </c>
      <c r="C20" s="159" t="s">
        <v>130</v>
      </c>
      <c r="D20" s="159" t="s">
        <v>72</v>
      </c>
      <c r="E20" s="49" t="s">
        <v>30</v>
      </c>
      <c r="F20" s="45">
        <v>1081571646</v>
      </c>
      <c r="G20" s="49" t="s">
        <v>113</v>
      </c>
      <c r="H20" s="51">
        <v>558158466</v>
      </c>
      <c r="I20" s="45" t="s">
        <v>195</v>
      </c>
      <c r="J20" s="163" t="s">
        <v>56</v>
      </c>
      <c r="K20" s="163" t="s">
        <v>57</v>
      </c>
      <c r="L20" s="498"/>
      <c r="M20" s="55"/>
      <c r="N20" s="55"/>
      <c r="O20" s="55"/>
      <c r="P20" s="55"/>
      <c r="Q20" s="55"/>
      <c r="R20" s="55"/>
      <c r="S20" s="55"/>
      <c r="T20" s="55"/>
      <c r="U20" s="55"/>
      <c r="V20" s="55"/>
      <c r="W20" s="56"/>
    </row>
    <row r="21" spans="1:23" ht="30.75" customHeight="1">
      <c r="A21" s="55"/>
      <c r="B21" s="45"/>
      <c r="C21" s="50"/>
      <c r="D21" s="159"/>
      <c r="E21" s="49"/>
      <c r="F21" s="48"/>
      <c r="G21" s="47"/>
      <c r="H21" s="48"/>
      <c r="I21" s="45"/>
      <c r="J21" s="161"/>
      <c r="K21" s="163"/>
      <c r="L21" s="498"/>
      <c r="M21" s="55"/>
      <c r="N21" s="55"/>
      <c r="O21" s="55"/>
      <c r="P21" s="55"/>
      <c r="Q21" s="55"/>
      <c r="R21" s="55"/>
      <c r="S21" s="55"/>
      <c r="T21" s="55"/>
      <c r="U21" s="55"/>
      <c r="V21" s="55"/>
      <c r="W21" s="56"/>
    </row>
    <row r="22" spans="1:23">
      <c r="A22" s="55"/>
      <c r="B22" s="55"/>
      <c r="C22" s="55"/>
      <c r="D22" s="55"/>
      <c r="E22" s="55"/>
      <c r="F22" s="55"/>
      <c r="G22" s="55"/>
      <c r="H22" s="55"/>
      <c r="I22" s="55"/>
      <c r="J22" s="55"/>
      <c r="K22" s="55"/>
      <c r="L22" s="55"/>
      <c r="M22" s="55"/>
      <c r="N22" s="55"/>
      <c r="O22" s="55"/>
      <c r="P22" s="55"/>
      <c r="Q22" s="55"/>
      <c r="R22" s="55"/>
      <c r="S22" s="55"/>
      <c r="T22" s="55"/>
      <c r="U22" s="55"/>
      <c r="V22" s="55"/>
      <c r="W22" s="56"/>
    </row>
    <row r="23" spans="1:23">
      <c r="A23" s="55"/>
      <c r="B23" s="55"/>
      <c r="C23" s="55"/>
      <c r="D23" s="55"/>
      <c r="E23" s="55"/>
      <c r="F23" s="55"/>
      <c r="G23" s="55"/>
      <c r="H23" s="55"/>
      <c r="I23" s="55"/>
      <c r="J23" s="55"/>
      <c r="K23" s="55"/>
      <c r="L23" s="55"/>
      <c r="M23" s="55"/>
      <c r="N23" s="55"/>
      <c r="O23" s="55"/>
      <c r="P23" s="55"/>
      <c r="Q23" s="55"/>
      <c r="R23" s="55"/>
      <c r="S23" s="55"/>
      <c r="T23" s="55"/>
      <c r="U23" s="55"/>
      <c r="V23" s="55"/>
      <c r="W23" s="56"/>
    </row>
    <row r="24" spans="1:23" ht="55.95" customHeight="1">
      <c r="A24" s="55"/>
      <c r="B24" s="55"/>
      <c r="C24" s="634" t="s">
        <v>467</v>
      </c>
      <c r="D24" s="634"/>
      <c r="E24" s="634"/>
      <c r="F24" s="634"/>
      <c r="G24" s="634"/>
      <c r="H24" s="55"/>
      <c r="I24" s="55"/>
      <c r="J24" s="55"/>
      <c r="K24" s="55"/>
      <c r="L24" s="55"/>
      <c r="M24" s="55"/>
      <c r="N24" s="55"/>
      <c r="O24" s="55"/>
      <c r="P24" s="55"/>
      <c r="Q24" s="55"/>
      <c r="R24" s="55"/>
      <c r="S24" s="55"/>
      <c r="T24" s="55"/>
      <c r="U24" s="55"/>
      <c r="V24" s="55"/>
      <c r="W24" s="56"/>
    </row>
    <row r="25" spans="1:23" ht="55.95" customHeight="1">
      <c r="A25" s="55"/>
      <c r="B25" s="55"/>
      <c r="C25" s="141" t="s">
        <v>225</v>
      </c>
      <c r="D25" s="141" t="s">
        <v>12</v>
      </c>
      <c r="E25" s="141" t="s">
        <v>13</v>
      </c>
      <c r="F25" s="141" t="s">
        <v>8</v>
      </c>
      <c r="G25" s="141" t="s">
        <v>1309</v>
      </c>
      <c r="H25" s="55"/>
      <c r="I25" s="55"/>
      <c r="J25" s="55"/>
      <c r="K25" s="55"/>
      <c r="L25" s="55"/>
      <c r="M25" s="55"/>
      <c r="N25" s="55"/>
      <c r="O25" s="55"/>
      <c r="P25" s="55"/>
      <c r="Q25" s="55"/>
      <c r="R25" s="55"/>
      <c r="S25" s="55"/>
      <c r="T25" s="55"/>
      <c r="U25" s="55"/>
      <c r="V25" s="55"/>
      <c r="W25" s="56"/>
    </row>
    <row r="26" spans="1:23" ht="55.95" customHeight="1">
      <c r="A26" s="55"/>
      <c r="B26" s="55"/>
      <c r="C26" s="146" t="s">
        <v>4</v>
      </c>
      <c r="D26" s="147">
        <v>0</v>
      </c>
      <c r="E26" s="147">
        <v>3</v>
      </c>
      <c r="F26" s="148">
        <f>SUM(D26:E26)</f>
        <v>3</v>
      </c>
      <c r="G26" s="84">
        <f>L4+L5+L6+L7</f>
        <v>0</v>
      </c>
      <c r="H26" s="55"/>
      <c r="I26" s="55"/>
      <c r="J26" s="55"/>
      <c r="K26" s="55"/>
      <c r="L26" s="55"/>
      <c r="M26" s="55"/>
      <c r="N26" s="55"/>
      <c r="O26" s="55"/>
      <c r="P26" s="55"/>
      <c r="Q26" s="55"/>
      <c r="R26" s="55"/>
      <c r="S26" s="55"/>
      <c r="T26" s="55"/>
      <c r="U26" s="55"/>
      <c r="V26" s="55"/>
      <c r="W26" s="56"/>
    </row>
    <row r="27" spans="1:23" ht="55.95" customHeight="1">
      <c r="A27" s="55"/>
      <c r="B27" s="55"/>
      <c r="C27" s="146" t="s">
        <v>6</v>
      </c>
      <c r="D27" s="147">
        <v>1</v>
      </c>
      <c r="E27" s="147">
        <v>1</v>
      </c>
      <c r="F27" s="148">
        <f t="shared" ref="F27:F28" si="0">SUM(D27:E27)</f>
        <v>2</v>
      </c>
      <c r="G27" s="84">
        <f>L10+L11+L12</f>
        <v>0</v>
      </c>
      <c r="H27" s="55"/>
      <c r="I27" s="55"/>
      <c r="J27" s="55"/>
      <c r="K27" s="55"/>
      <c r="L27" s="55"/>
      <c r="M27" s="55"/>
      <c r="N27" s="55"/>
      <c r="O27" s="55"/>
      <c r="P27" s="55"/>
      <c r="Q27" s="55"/>
      <c r="R27" s="55"/>
      <c r="S27" s="55"/>
      <c r="T27" s="55"/>
      <c r="U27" s="55"/>
      <c r="V27" s="55"/>
      <c r="W27" s="56"/>
    </row>
    <row r="28" spans="1:23" ht="55.95" customHeight="1">
      <c r="A28" s="55"/>
      <c r="B28" s="55"/>
      <c r="C28" s="146" t="s">
        <v>7</v>
      </c>
      <c r="D28" s="147">
        <v>4</v>
      </c>
      <c r="E28" s="147">
        <v>2</v>
      </c>
      <c r="F28" s="148">
        <f t="shared" si="0"/>
        <v>6</v>
      </c>
      <c r="G28" s="84">
        <f>L15+L16+L17+L18+L19+L20+L21</f>
        <v>0</v>
      </c>
      <c r="H28" s="55"/>
      <c r="I28" s="55"/>
      <c r="J28" s="55"/>
      <c r="K28" s="55"/>
      <c r="L28" s="55"/>
      <c r="M28" s="55"/>
      <c r="N28" s="55"/>
      <c r="O28" s="55"/>
      <c r="P28" s="55"/>
      <c r="Q28" s="55"/>
      <c r="R28" s="55"/>
      <c r="S28" s="55"/>
      <c r="T28" s="55"/>
      <c r="U28" s="55"/>
      <c r="V28" s="55"/>
      <c r="W28" s="56"/>
    </row>
    <row r="29" spans="1:23" ht="55.95" customHeight="1">
      <c r="A29" s="55"/>
      <c r="B29" s="55"/>
      <c r="C29" s="141" t="s">
        <v>8</v>
      </c>
      <c r="D29" s="141">
        <f>SUM(D26:D28)</f>
        <v>5</v>
      </c>
      <c r="E29" s="141">
        <f>SUM(E26:E28)</f>
        <v>6</v>
      </c>
      <c r="F29" s="141">
        <f>SUM(F26:F28)</f>
        <v>11</v>
      </c>
      <c r="G29" s="141">
        <f>SUM(G26:G28)</f>
        <v>0</v>
      </c>
      <c r="H29" s="55"/>
      <c r="I29" s="55"/>
      <c r="J29" s="55"/>
      <c r="K29" s="55"/>
      <c r="L29" s="55"/>
      <c r="M29" s="55"/>
      <c r="N29" s="55"/>
      <c r="O29" s="55"/>
      <c r="P29" s="55"/>
      <c r="Q29" s="55"/>
      <c r="R29" s="55"/>
      <c r="S29" s="55"/>
      <c r="T29" s="55"/>
      <c r="U29" s="55"/>
      <c r="V29" s="55"/>
      <c r="W29" s="56"/>
    </row>
    <row r="30" spans="1:23">
      <c r="A30" s="55"/>
      <c r="B30" s="55"/>
      <c r="C30" s="55"/>
      <c r="D30" s="55"/>
      <c r="E30" s="55"/>
      <c r="F30" s="55"/>
      <c r="G30" s="55"/>
      <c r="H30" s="55"/>
      <c r="I30" s="55"/>
      <c r="J30" s="55"/>
      <c r="K30" s="55"/>
      <c r="L30" s="55"/>
      <c r="M30" s="55"/>
      <c r="N30" s="55"/>
      <c r="O30" s="55"/>
      <c r="P30" s="55"/>
      <c r="Q30" s="55"/>
      <c r="R30" s="55"/>
      <c r="S30" s="55"/>
      <c r="T30" s="55"/>
      <c r="U30" s="55"/>
      <c r="V30" s="55"/>
      <c r="W30" s="56"/>
    </row>
    <row r="31" spans="1:23">
      <c r="A31" s="55"/>
      <c r="B31" s="55"/>
      <c r="C31" s="55"/>
      <c r="D31" s="55"/>
      <c r="E31" s="55"/>
      <c r="F31" s="55"/>
      <c r="G31" s="55"/>
      <c r="H31" s="55"/>
      <c r="I31" s="55"/>
      <c r="J31" s="55"/>
      <c r="K31" s="55"/>
      <c r="L31" s="55"/>
      <c r="M31" s="55"/>
      <c r="N31" s="55"/>
      <c r="O31" s="55"/>
      <c r="P31" s="55"/>
      <c r="Q31" s="55"/>
      <c r="R31" s="55"/>
      <c r="S31" s="55"/>
      <c r="T31" s="55"/>
      <c r="U31" s="55"/>
      <c r="V31" s="55"/>
      <c r="W31" s="56"/>
    </row>
    <row r="32" spans="1:23">
      <c r="A32" s="55"/>
      <c r="B32" s="55"/>
      <c r="C32" s="55"/>
      <c r="D32" s="55"/>
      <c r="E32" s="55"/>
      <c r="F32" s="55"/>
      <c r="G32" s="55"/>
      <c r="H32" s="55"/>
      <c r="I32" s="55"/>
      <c r="J32" s="55"/>
      <c r="K32" s="55"/>
      <c r="L32" s="55"/>
      <c r="M32" s="55"/>
      <c r="N32" s="55"/>
      <c r="O32" s="55"/>
      <c r="P32" s="55"/>
      <c r="Q32" s="55"/>
      <c r="R32" s="55"/>
      <c r="S32" s="55"/>
      <c r="T32" s="55"/>
      <c r="U32" s="55"/>
      <c r="V32" s="55"/>
      <c r="W32" s="56"/>
    </row>
    <row r="33" spans="1:23">
      <c r="A33" s="55"/>
      <c r="B33" s="55"/>
      <c r="C33" s="55"/>
      <c r="D33" s="55"/>
      <c r="E33" s="55"/>
      <c r="F33" s="55"/>
      <c r="G33" s="55"/>
      <c r="H33" s="55"/>
      <c r="I33" s="55"/>
      <c r="J33" s="55"/>
      <c r="K33" s="55"/>
      <c r="L33" s="55"/>
      <c r="M33" s="55"/>
      <c r="N33" s="55"/>
      <c r="O33" s="55"/>
      <c r="P33" s="55"/>
      <c r="Q33" s="55"/>
      <c r="R33" s="55"/>
      <c r="S33" s="55"/>
      <c r="T33" s="55"/>
      <c r="U33" s="55"/>
      <c r="V33" s="55"/>
      <c r="W33" s="56"/>
    </row>
    <row r="34" spans="1:23">
      <c r="A34" s="55"/>
      <c r="B34" s="55"/>
      <c r="C34" s="55"/>
      <c r="D34" s="55"/>
      <c r="E34" s="55"/>
      <c r="F34" s="55"/>
      <c r="G34" s="55"/>
      <c r="H34" s="55"/>
      <c r="I34" s="55"/>
      <c r="J34" s="55"/>
      <c r="K34" s="55"/>
      <c r="L34" s="55"/>
      <c r="M34" s="55"/>
      <c r="N34" s="55"/>
      <c r="O34" s="55"/>
      <c r="P34" s="55"/>
      <c r="Q34" s="55"/>
      <c r="R34" s="55"/>
      <c r="S34" s="55"/>
      <c r="T34" s="55"/>
      <c r="U34" s="55"/>
      <c r="V34" s="55"/>
      <c r="W34" s="56"/>
    </row>
    <row r="35" spans="1:23">
      <c r="A35" s="55"/>
      <c r="B35" s="55"/>
      <c r="C35" s="55"/>
      <c r="D35" s="55"/>
      <c r="E35" s="55"/>
      <c r="F35" s="55"/>
      <c r="G35" s="55"/>
      <c r="H35" s="55"/>
      <c r="I35" s="55"/>
      <c r="J35" s="55"/>
      <c r="K35" s="55"/>
      <c r="L35" s="55"/>
      <c r="M35" s="55"/>
      <c r="N35" s="55"/>
      <c r="O35" s="55"/>
      <c r="P35" s="55"/>
      <c r="Q35" s="55"/>
      <c r="R35" s="55"/>
      <c r="S35" s="55"/>
      <c r="T35" s="55"/>
      <c r="U35" s="55"/>
      <c r="V35" s="55"/>
      <c r="W35" s="56"/>
    </row>
    <row r="36" spans="1:23">
      <c r="A36" s="55"/>
      <c r="B36" s="55"/>
      <c r="C36" s="55"/>
      <c r="D36" s="55"/>
      <c r="E36" s="55"/>
      <c r="F36" s="55"/>
      <c r="G36" s="55"/>
      <c r="H36" s="55"/>
      <c r="I36" s="55"/>
      <c r="J36" s="55"/>
      <c r="K36" s="55"/>
      <c r="L36" s="55"/>
      <c r="M36" s="55"/>
      <c r="N36" s="55"/>
      <c r="O36" s="55"/>
      <c r="P36" s="55"/>
      <c r="Q36" s="55"/>
      <c r="R36" s="55"/>
      <c r="S36" s="55"/>
      <c r="T36" s="55"/>
      <c r="U36" s="55"/>
      <c r="V36" s="55"/>
      <c r="W36" s="56"/>
    </row>
    <row r="37" spans="1:23">
      <c r="A37" s="55"/>
      <c r="B37" s="55"/>
      <c r="C37" s="55"/>
      <c r="D37" s="55"/>
      <c r="E37" s="55"/>
      <c r="F37" s="55"/>
      <c r="G37" s="55"/>
      <c r="H37" s="55"/>
      <c r="I37" s="55"/>
      <c r="J37" s="55"/>
      <c r="K37" s="55"/>
      <c r="L37" s="55"/>
      <c r="M37" s="55"/>
      <c r="N37" s="55"/>
      <c r="O37" s="55"/>
      <c r="P37" s="55"/>
      <c r="Q37" s="55"/>
      <c r="R37" s="55"/>
      <c r="S37" s="55"/>
      <c r="T37" s="55"/>
      <c r="U37" s="55"/>
      <c r="V37" s="55"/>
      <c r="W37" s="56"/>
    </row>
    <row r="38" spans="1:23">
      <c r="A38" s="55"/>
      <c r="B38" s="55"/>
      <c r="C38" s="55"/>
      <c r="D38" s="55"/>
      <c r="E38" s="55"/>
      <c r="F38" s="55"/>
      <c r="G38" s="55"/>
      <c r="H38" s="55"/>
      <c r="I38" s="55"/>
      <c r="J38" s="55"/>
      <c r="K38" s="55"/>
      <c r="L38" s="55"/>
      <c r="M38" s="55"/>
      <c r="N38" s="55"/>
      <c r="O38" s="55"/>
      <c r="P38" s="55"/>
      <c r="Q38" s="55"/>
      <c r="R38" s="55"/>
      <c r="S38" s="55"/>
      <c r="T38" s="55"/>
      <c r="U38" s="55"/>
      <c r="V38" s="55"/>
      <c r="W38" s="56"/>
    </row>
    <row r="39" spans="1:23">
      <c r="A39" s="55"/>
      <c r="B39" s="55"/>
      <c r="C39" s="55"/>
      <c r="D39" s="55"/>
      <c r="E39" s="55"/>
      <c r="F39" s="55"/>
      <c r="G39" s="55"/>
      <c r="H39" s="55"/>
      <c r="I39" s="55"/>
      <c r="J39" s="55"/>
      <c r="K39" s="55"/>
      <c r="L39" s="55"/>
      <c r="M39" s="55"/>
      <c r="N39" s="55"/>
      <c r="O39" s="55"/>
      <c r="P39" s="55"/>
      <c r="Q39" s="55"/>
      <c r="R39" s="55"/>
      <c r="S39" s="55"/>
      <c r="T39" s="55"/>
      <c r="U39" s="55"/>
      <c r="V39" s="55"/>
      <c r="W39" s="56"/>
    </row>
    <row r="40" spans="1:23">
      <c r="A40" s="55"/>
      <c r="B40" s="55"/>
      <c r="C40" s="55"/>
      <c r="D40" s="55"/>
      <c r="E40" s="55"/>
      <c r="F40" s="55"/>
      <c r="G40" s="55"/>
      <c r="H40" s="55"/>
      <c r="I40" s="55"/>
      <c r="J40" s="55"/>
      <c r="K40" s="55"/>
      <c r="L40" s="55"/>
      <c r="M40" s="55"/>
      <c r="N40" s="55"/>
      <c r="O40" s="55"/>
      <c r="P40" s="55"/>
      <c r="Q40" s="55"/>
      <c r="R40" s="55"/>
      <c r="S40" s="55"/>
      <c r="T40" s="55"/>
      <c r="U40" s="55"/>
      <c r="V40" s="55"/>
      <c r="W40" s="56"/>
    </row>
    <row r="41" spans="1:23">
      <c r="A41" s="55"/>
      <c r="B41" s="55"/>
      <c r="C41" s="55"/>
      <c r="D41" s="55"/>
      <c r="E41" s="55"/>
      <c r="F41" s="55"/>
      <c r="G41" s="55"/>
      <c r="H41" s="55"/>
      <c r="I41" s="55"/>
      <c r="J41" s="55"/>
      <c r="K41" s="55"/>
      <c r="L41" s="55"/>
      <c r="M41" s="55"/>
      <c r="N41" s="55"/>
      <c r="O41" s="55"/>
      <c r="P41" s="55"/>
      <c r="Q41" s="55"/>
      <c r="R41" s="55"/>
      <c r="S41" s="55"/>
      <c r="T41" s="55"/>
      <c r="U41" s="55"/>
      <c r="V41" s="55"/>
      <c r="W41" s="56"/>
    </row>
    <row r="42" spans="1:23">
      <c r="A42" s="55"/>
      <c r="B42" s="55"/>
      <c r="C42" s="55"/>
      <c r="D42" s="55"/>
      <c r="E42" s="55"/>
      <c r="F42" s="55"/>
      <c r="G42" s="55"/>
      <c r="H42" s="55"/>
      <c r="I42" s="55"/>
      <c r="J42" s="55"/>
      <c r="K42" s="55"/>
      <c r="L42" s="55"/>
      <c r="M42" s="55"/>
      <c r="N42" s="55"/>
      <c r="O42" s="55"/>
      <c r="P42" s="55"/>
      <c r="Q42" s="55"/>
      <c r="R42" s="55"/>
      <c r="S42" s="55"/>
      <c r="T42" s="55"/>
      <c r="U42" s="55"/>
      <c r="V42" s="55"/>
      <c r="W42" s="56"/>
    </row>
    <row r="43" spans="1:23">
      <c r="A43" s="55"/>
      <c r="B43" s="55"/>
      <c r="C43" s="55"/>
      <c r="D43" s="55"/>
      <c r="E43" s="55"/>
      <c r="F43" s="55"/>
      <c r="G43" s="55"/>
      <c r="H43" s="55"/>
      <c r="I43" s="55"/>
      <c r="J43" s="55"/>
      <c r="K43" s="55"/>
      <c r="L43" s="55"/>
      <c r="M43" s="55"/>
      <c r="N43" s="55"/>
      <c r="O43" s="55"/>
      <c r="P43" s="55"/>
      <c r="Q43" s="55"/>
      <c r="R43" s="55"/>
      <c r="S43" s="55"/>
      <c r="T43" s="55"/>
      <c r="U43" s="55"/>
      <c r="V43" s="55"/>
      <c r="W43" s="56"/>
    </row>
    <row r="44" spans="1:23">
      <c r="A44" s="55"/>
      <c r="B44" s="55"/>
      <c r="C44" s="55"/>
      <c r="D44" s="55"/>
      <c r="E44" s="55"/>
      <c r="F44" s="55"/>
      <c r="G44" s="55"/>
      <c r="H44" s="55"/>
      <c r="I44" s="55"/>
      <c r="J44" s="55"/>
      <c r="K44" s="55"/>
      <c r="L44" s="55"/>
      <c r="M44" s="55"/>
      <c r="N44" s="55"/>
      <c r="O44" s="55"/>
      <c r="P44" s="55"/>
      <c r="Q44" s="55"/>
      <c r="R44" s="55"/>
      <c r="S44" s="55"/>
      <c r="T44" s="55"/>
      <c r="U44" s="55"/>
      <c r="V44" s="55"/>
      <c r="W44" s="56"/>
    </row>
    <row r="45" spans="1:23">
      <c r="A45" s="55"/>
      <c r="B45" s="55"/>
      <c r="C45" s="55"/>
      <c r="D45" s="55"/>
      <c r="E45" s="55"/>
      <c r="F45" s="55"/>
      <c r="G45" s="55"/>
      <c r="H45" s="55"/>
      <c r="I45" s="55"/>
      <c r="J45" s="55"/>
      <c r="K45" s="55"/>
      <c r="L45" s="55"/>
      <c r="M45" s="55"/>
      <c r="N45" s="55"/>
      <c r="O45" s="55"/>
      <c r="P45" s="55"/>
      <c r="Q45" s="55"/>
      <c r="R45" s="55"/>
      <c r="S45" s="55"/>
      <c r="T45" s="55"/>
      <c r="U45" s="55"/>
      <c r="V45" s="55"/>
      <c r="W45" s="56"/>
    </row>
    <row r="46" spans="1:23">
      <c r="A46" s="55"/>
      <c r="B46" s="55"/>
      <c r="C46" s="55"/>
      <c r="D46" s="55"/>
      <c r="E46" s="55"/>
      <c r="F46" s="55"/>
      <c r="G46" s="55"/>
      <c r="H46" s="55"/>
      <c r="I46" s="55"/>
      <c r="J46" s="55"/>
      <c r="K46" s="55"/>
      <c r="L46" s="55"/>
      <c r="M46" s="55"/>
      <c r="N46" s="55"/>
      <c r="O46" s="55"/>
      <c r="P46" s="55"/>
      <c r="Q46" s="55"/>
      <c r="R46" s="55"/>
      <c r="S46" s="55"/>
      <c r="T46" s="55"/>
      <c r="U46" s="55"/>
      <c r="V46" s="55"/>
      <c r="W46" s="56"/>
    </row>
    <row r="47" spans="1:23">
      <c r="A47" s="55"/>
      <c r="B47" s="55"/>
      <c r="C47" s="55"/>
      <c r="D47" s="55"/>
      <c r="E47" s="55"/>
      <c r="F47" s="55"/>
      <c r="G47" s="55"/>
      <c r="H47" s="55"/>
      <c r="I47" s="55"/>
      <c r="J47" s="55"/>
      <c r="K47" s="55"/>
      <c r="L47" s="55"/>
      <c r="M47" s="55"/>
      <c r="N47" s="55"/>
      <c r="O47" s="55"/>
      <c r="P47" s="55"/>
      <c r="Q47" s="55"/>
      <c r="R47" s="55"/>
      <c r="S47" s="55"/>
      <c r="T47" s="55"/>
      <c r="U47" s="55"/>
      <c r="V47" s="55"/>
      <c r="W47" s="56"/>
    </row>
    <row r="48" spans="1:23">
      <c r="A48" s="55"/>
      <c r="B48" s="55"/>
      <c r="C48" s="55"/>
      <c r="D48" s="55"/>
      <c r="E48" s="55"/>
      <c r="F48" s="55"/>
      <c r="G48" s="55"/>
      <c r="H48" s="55"/>
      <c r="I48" s="55"/>
      <c r="J48" s="55"/>
      <c r="K48" s="55"/>
      <c r="L48" s="55"/>
      <c r="M48" s="55"/>
      <c r="N48" s="55"/>
      <c r="O48" s="55"/>
      <c r="P48" s="55"/>
      <c r="Q48" s="55"/>
      <c r="R48" s="55"/>
      <c r="S48" s="55"/>
      <c r="T48" s="55"/>
      <c r="U48" s="55"/>
      <c r="V48" s="55"/>
      <c r="W48" s="56"/>
    </row>
    <row r="49" spans="1:23">
      <c r="A49" s="55"/>
      <c r="B49" s="55"/>
      <c r="C49" s="55"/>
      <c r="D49" s="55"/>
      <c r="E49" s="55"/>
      <c r="F49" s="55"/>
      <c r="G49" s="55"/>
      <c r="H49" s="55"/>
      <c r="I49" s="55"/>
      <c r="J49" s="55"/>
      <c r="K49" s="55"/>
      <c r="L49" s="55"/>
      <c r="M49" s="55"/>
      <c r="N49" s="55"/>
      <c r="O49" s="55"/>
      <c r="P49" s="55"/>
      <c r="Q49" s="55"/>
      <c r="R49" s="55"/>
      <c r="S49" s="55"/>
      <c r="T49" s="55"/>
      <c r="U49" s="55"/>
      <c r="V49" s="55"/>
      <c r="W49" s="56"/>
    </row>
    <row r="50" spans="1:23">
      <c r="A50" s="55"/>
      <c r="B50" s="55"/>
      <c r="C50" s="55"/>
      <c r="D50" s="55"/>
      <c r="E50" s="55"/>
      <c r="F50" s="55"/>
      <c r="G50" s="55"/>
      <c r="H50" s="55"/>
      <c r="I50" s="55"/>
      <c r="J50" s="55"/>
      <c r="K50" s="55"/>
      <c r="L50" s="55"/>
      <c r="M50" s="55"/>
      <c r="N50" s="55"/>
      <c r="O50" s="55"/>
      <c r="P50" s="55"/>
      <c r="Q50" s="55"/>
      <c r="R50" s="55"/>
      <c r="S50" s="55"/>
      <c r="T50" s="55"/>
      <c r="U50" s="55"/>
      <c r="V50" s="55"/>
      <c r="W50" s="56"/>
    </row>
    <row r="51" spans="1:23">
      <c r="A51" s="55"/>
      <c r="B51" s="55"/>
      <c r="C51" s="55"/>
      <c r="D51" s="55"/>
      <c r="E51" s="55"/>
      <c r="F51" s="55"/>
      <c r="G51" s="55"/>
      <c r="H51" s="55"/>
      <c r="I51" s="55"/>
      <c r="J51" s="55"/>
      <c r="K51" s="55"/>
      <c r="L51" s="55"/>
      <c r="M51" s="55"/>
      <c r="N51" s="55"/>
      <c r="O51" s="55"/>
      <c r="P51" s="55"/>
      <c r="Q51" s="55"/>
      <c r="R51" s="55"/>
      <c r="S51" s="55"/>
      <c r="T51" s="55"/>
      <c r="U51" s="55"/>
      <c r="V51" s="55"/>
      <c r="W51" s="56"/>
    </row>
    <row r="52" spans="1:23">
      <c r="A52" s="55"/>
      <c r="B52" s="55"/>
      <c r="C52" s="55"/>
      <c r="D52" s="55"/>
      <c r="E52" s="55"/>
      <c r="F52" s="55"/>
      <c r="G52" s="55"/>
      <c r="H52" s="55"/>
      <c r="I52" s="55"/>
      <c r="J52" s="55"/>
      <c r="K52" s="55"/>
      <c r="L52" s="55"/>
      <c r="M52" s="55"/>
      <c r="N52" s="55"/>
      <c r="O52" s="55"/>
      <c r="P52" s="55"/>
      <c r="Q52" s="55"/>
      <c r="R52" s="55"/>
      <c r="S52" s="55"/>
      <c r="T52" s="55"/>
      <c r="U52" s="55"/>
      <c r="V52" s="55"/>
      <c r="W52" s="56"/>
    </row>
    <row r="53" spans="1:23">
      <c r="A53" s="55"/>
      <c r="B53" s="55"/>
      <c r="C53" s="55"/>
      <c r="D53" s="55"/>
      <c r="E53" s="55"/>
      <c r="F53" s="55"/>
      <c r="G53" s="55"/>
      <c r="H53" s="55"/>
      <c r="I53" s="55"/>
      <c r="J53" s="55"/>
      <c r="K53" s="55"/>
      <c r="L53" s="55"/>
      <c r="M53" s="55"/>
      <c r="N53" s="55"/>
      <c r="O53" s="55"/>
      <c r="P53" s="55"/>
      <c r="Q53" s="55"/>
      <c r="R53" s="55"/>
      <c r="S53" s="55"/>
      <c r="T53" s="55"/>
      <c r="U53" s="55"/>
      <c r="V53" s="55"/>
      <c r="W53" s="56"/>
    </row>
    <row r="54" spans="1:23">
      <c r="A54" s="55"/>
      <c r="B54" s="55"/>
      <c r="C54" s="55"/>
      <c r="D54" s="55"/>
      <c r="E54" s="55"/>
      <c r="F54" s="55"/>
      <c r="G54" s="55"/>
      <c r="H54" s="55"/>
      <c r="I54" s="55"/>
      <c r="J54" s="55"/>
      <c r="K54" s="55"/>
      <c r="L54" s="55"/>
      <c r="M54" s="55"/>
      <c r="N54" s="55"/>
      <c r="O54" s="55"/>
      <c r="P54" s="55"/>
      <c r="Q54" s="55"/>
      <c r="R54" s="55"/>
      <c r="S54" s="55"/>
      <c r="T54" s="55"/>
      <c r="U54" s="55"/>
      <c r="V54" s="55"/>
      <c r="W54" s="56"/>
    </row>
    <row r="55" spans="1:23">
      <c r="A55" s="55"/>
      <c r="B55" s="55"/>
      <c r="C55" s="55"/>
      <c r="D55" s="55"/>
      <c r="E55" s="55"/>
      <c r="F55" s="55"/>
      <c r="G55" s="55"/>
      <c r="H55" s="55"/>
      <c r="I55" s="55"/>
      <c r="J55" s="55"/>
      <c r="K55" s="55"/>
      <c r="L55" s="55"/>
      <c r="M55" s="55"/>
      <c r="N55" s="55"/>
      <c r="O55" s="55"/>
      <c r="P55" s="55"/>
      <c r="Q55" s="55"/>
      <c r="R55" s="55"/>
      <c r="S55" s="55"/>
      <c r="T55" s="55"/>
      <c r="U55" s="55"/>
      <c r="V55" s="55"/>
      <c r="W55" s="56"/>
    </row>
    <row r="56" spans="1:23">
      <c r="A56" s="55"/>
      <c r="B56" s="55"/>
      <c r="C56" s="55"/>
      <c r="D56" s="55"/>
      <c r="E56" s="55"/>
      <c r="F56" s="55"/>
      <c r="G56" s="55"/>
      <c r="H56" s="55"/>
      <c r="I56" s="55"/>
      <c r="J56" s="55"/>
      <c r="K56" s="55"/>
      <c r="L56" s="55"/>
      <c r="M56" s="55"/>
      <c r="N56" s="55"/>
      <c r="O56" s="55"/>
      <c r="P56" s="55"/>
      <c r="Q56" s="55"/>
      <c r="R56" s="55"/>
      <c r="S56" s="55"/>
      <c r="T56" s="55"/>
      <c r="U56" s="55"/>
      <c r="V56" s="55"/>
      <c r="W56" s="56"/>
    </row>
    <row r="57" spans="1:23">
      <c r="A57" s="55"/>
      <c r="B57" s="55"/>
      <c r="C57" s="55"/>
      <c r="D57" s="55"/>
      <c r="E57" s="55"/>
      <c r="F57" s="55"/>
      <c r="G57" s="55"/>
      <c r="H57" s="55"/>
      <c r="I57" s="55"/>
      <c r="J57" s="55"/>
      <c r="K57" s="55"/>
      <c r="L57" s="55"/>
      <c r="M57" s="55"/>
      <c r="N57" s="55"/>
      <c r="O57" s="55"/>
      <c r="P57" s="55"/>
      <c r="Q57" s="55"/>
      <c r="R57" s="55"/>
      <c r="S57" s="55"/>
      <c r="T57" s="55"/>
      <c r="U57" s="55"/>
      <c r="V57" s="55"/>
      <c r="W57" s="56"/>
    </row>
    <row r="58" spans="1:23">
      <c r="A58" s="55"/>
      <c r="B58" s="55"/>
      <c r="C58" s="55"/>
      <c r="D58" s="55"/>
      <c r="E58" s="55"/>
      <c r="F58" s="55"/>
      <c r="G58" s="55"/>
      <c r="H58" s="55"/>
      <c r="I58" s="55"/>
      <c r="J58" s="55"/>
      <c r="K58" s="55"/>
      <c r="L58" s="55"/>
      <c r="M58" s="55"/>
      <c r="N58" s="55"/>
      <c r="O58" s="55"/>
      <c r="P58" s="55"/>
      <c r="Q58" s="55"/>
      <c r="R58" s="55"/>
      <c r="S58" s="55"/>
      <c r="T58" s="55"/>
      <c r="U58" s="55"/>
      <c r="V58" s="55"/>
      <c r="W58" s="56"/>
    </row>
    <row r="59" spans="1:23">
      <c r="A59" s="55"/>
      <c r="B59" s="55"/>
      <c r="C59" s="55"/>
      <c r="D59" s="55"/>
      <c r="E59" s="55"/>
      <c r="F59" s="55"/>
      <c r="G59" s="55"/>
      <c r="H59" s="55"/>
      <c r="I59" s="55"/>
      <c r="J59" s="55"/>
      <c r="K59" s="55"/>
      <c r="L59" s="55"/>
      <c r="M59" s="55"/>
      <c r="N59" s="55"/>
      <c r="O59" s="55"/>
      <c r="P59" s="55"/>
      <c r="Q59" s="55"/>
      <c r="R59" s="55"/>
      <c r="S59" s="55"/>
      <c r="T59" s="55"/>
      <c r="U59" s="55"/>
      <c r="V59" s="55"/>
      <c r="W59" s="56"/>
    </row>
    <row r="60" spans="1:23">
      <c r="A60" s="55"/>
      <c r="B60" s="55"/>
      <c r="C60" s="55"/>
      <c r="D60" s="55"/>
      <c r="E60" s="55"/>
      <c r="F60" s="55"/>
      <c r="G60" s="55"/>
      <c r="H60" s="55"/>
      <c r="I60" s="55"/>
      <c r="J60" s="55"/>
      <c r="K60" s="55"/>
      <c r="L60" s="55"/>
      <c r="M60" s="55"/>
      <c r="N60" s="55"/>
      <c r="O60" s="55"/>
      <c r="P60" s="55"/>
      <c r="Q60" s="55"/>
      <c r="R60" s="55"/>
      <c r="S60" s="55"/>
      <c r="T60" s="55"/>
      <c r="U60" s="55"/>
      <c r="V60" s="55"/>
      <c r="W60" s="56"/>
    </row>
    <row r="61" spans="1:23">
      <c r="A61" s="55"/>
      <c r="B61" s="55"/>
      <c r="C61" s="55"/>
      <c r="D61" s="55"/>
      <c r="E61" s="55"/>
      <c r="F61" s="55"/>
      <c r="G61" s="55"/>
      <c r="H61" s="55"/>
      <c r="I61" s="55"/>
      <c r="J61" s="55"/>
      <c r="K61" s="55"/>
      <c r="L61" s="55"/>
      <c r="M61" s="55"/>
      <c r="N61" s="55"/>
      <c r="O61" s="55"/>
      <c r="P61" s="55"/>
      <c r="Q61" s="55"/>
      <c r="R61" s="55"/>
      <c r="S61" s="55"/>
      <c r="T61" s="55"/>
      <c r="U61" s="55"/>
      <c r="V61" s="55"/>
      <c r="W61" s="56"/>
    </row>
    <row r="62" spans="1:23">
      <c r="A62" s="55"/>
      <c r="B62" s="55"/>
      <c r="C62" s="55"/>
      <c r="D62" s="55"/>
      <c r="E62" s="55"/>
      <c r="F62" s="55"/>
      <c r="G62" s="55"/>
      <c r="H62" s="55"/>
      <c r="I62" s="55"/>
      <c r="J62" s="55"/>
      <c r="K62" s="55"/>
      <c r="L62" s="55"/>
      <c r="M62" s="55"/>
      <c r="N62" s="55"/>
      <c r="O62" s="55"/>
      <c r="P62" s="55"/>
      <c r="Q62" s="55"/>
      <c r="R62" s="55"/>
      <c r="S62" s="55"/>
      <c r="T62" s="55"/>
      <c r="U62" s="55"/>
      <c r="V62" s="55"/>
      <c r="W62" s="56"/>
    </row>
    <row r="63" spans="1:23">
      <c r="A63" s="55"/>
      <c r="B63" s="55"/>
      <c r="C63" s="55"/>
      <c r="D63" s="55"/>
      <c r="E63" s="55"/>
      <c r="F63" s="55"/>
      <c r="G63" s="55"/>
      <c r="H63" s="55"/>
      <c r="I63" s="55"/>
      <c r="J63" s="55"/>
      <c r="K63" s="55"/>
      <c r="L63" s="55"/>
      <c r="M63" s="55"/>
      <c r="N63" s="55"/>
      <c r="O63" s="55"/>
      <c r="P63" s="55"/>
      <c r="Q63" s="55"/>
      <c r="R63" s="55"/>
      <c r="S63" s="55"/>
      <c r="T63" s="55"/>
      <c r="U63" s="55"/>
      <c r="V63" s="55"/>
      <c r="W63" s="56"/>
    </row>
    <row r="64" spans="1:23">
      <c r="A64" s="55"/>
      <c r="B64" s="55"/>
      <c r="C64" s="55"/>
      <c r="D64" s="55"/>
      <c r="E64" s="55"/>
      <c r="F64" s="55"/>
      <c r="G64" s="55"/>
      <c r="H64" s="55"/>
      <c r="I64" s="55"/>
      <c r="J64" s="55"/>
      <c r="K64" s="55"/>
      <c r="L64" s="55"/>
      <c r="M64" s="55"/>
      <c r="N64" s="55"/>
      <c r="O64" s="55"/>
      <c r="P64" s="55"/>
      <c r="Q64" s="55"/>
      <c r="R64" s="55"/>
      <c r="S64" s="55"/>
      <c r="T64" s="55"/>
      <c r="U64" s="55"/>
      <c r="V64" s="55"/>
      <c r="W64" s="56"/>
    </row>
    <row r="65" spans="1:23">
      <c r="A65" s="55"/>
      <c r="B65" s="55"/>
      <c r="C65" s="55"/>
      <c r="D65" s="55"/>
      <c r="E65" s="55"/>
      <c r="F65" s="55"/>
      <c r="G65" s="55"/>
      <c r="H65" s="55"/>
      <c r="I65" s="55"/>
      <c r="J65" s="55"/>
      <c r="K65" s="55"/>
      <c r="L65" s="55"/>
      <c r="M65" s="55"/>
      <c r="N65" s="55"/>
      <c r="O65" s="55"/>
      <c r="P65" s="55"/>
      <c r="Q65" s="55"/>
      <c r="R65" s="55"/>
      <c r="S65" s="55"/>
      <c r="T65" s="55"/>
      <c r="U65" s="55"/>
      <c r="V65" s="55"/>
      <c r="W65" s="56"/>
    </row>
    <row r="66" spans="1:23">
      <c r="A66" s="55"/>
      <c r="B66" s="55"/>
      <c r="C66" s="55"/>
      <c r="D66" s="55"/>
      <c r="E66" s="55"/>
      <c r="F66" s="55"/>
      <c r="G66" s="55"/>
      <c r="H66" s="55"/>
      <c r="I66" s="55"/>
      <c r="J66" s="55"/>
      <c r="K66" s="55"/>
      <c r="L66" s="55"/>
      <c r="M66" s="55"/>
      <c r="N66" s="55"/>
      <c r="O66" s="55"/>
      <c r="P66" s="55"/>
      <c r="Q66" s="55"/>
      <c r="R66" s="55"/>
      <c r="S66" s="55"/>
      <c r="T66" s="55"/>
      <c r="U66" s="55"/>
      <c r="V66" s="55"/>
      <c r="W66" s="56"/>
    </row>
    <row r="67" spans="1:23">
      <c r="A67" s="55"/>
      <c r="B67" s="55"/>
      <c r="C67" s="55"/>
      <c r="D67" s="55"/>
      <c r="E67" s="55"/>
      <c r="F67" s="55"/>
      <c r="G67" s="55"/>
      <c r="H67" s="55"/>
      <c r="I67" s="55"/>
      <c r="J67" s="55"/>
      <c r="K67" s="55"/>
      <c r="L67" s="55"/>
      <c r="M67" s="55"/>
      <c r="N67" s="55"/>
      <c r="O67" s="55"/>
      <c r="P67" s="55"/>
      <c r="Q67" s="55"/>
      <c r="R67" s="55"/>
      <c r="S67" s="55"/>
      <c r="T67" s="55"/>
      <c r="U67" s="55"/>
      <c r="V67" s="55"/>
      <c r="W67" s="56"/>
    </row>
    <row r="68" spans="1:23">
      <c r="A68" s="55"/>
      <c r="B68" s="55"/>
      <c r="C68" s="55"/>
      <c r="D68" s="55"/>
      <c r="E68" s="55"/>
      <c r="F68" s="55"/>
      <c r="G68" s="55"/>
      <c r="H68" s="55"/>
      <c r="I68" s="55"/>
      <c r="J68" s="55"/>
      <c r="K68" s="55"/>
      <c r="L68" s="55"/>
      <c r="M68" s="55"/>
      <c r="N68" s="55"/>
      <c r="O68" s="55"/>
      <c r="P68" s="55"/>
      <c r="Q68" s="55"/>
      <c r="R68" s="55"/>
      <c r="S68" s="55"/>
      <c r="T68" s="55"/>
      <c r="U68" s="55"/>
      <c r="V68" s="55"/>
      <c r="W68" s="56"/>
    </row>
    <row r="69" spans="1:23">
      <c r="A69" s="55"/>
      <c r="B69" s="55"/>
      <c r="C69" s="55"/>
      <c r="D69" s="55"/>
      <c r="E69" s="55"/>
      <c r="F69" s="55"/>
      <c r="G69" s="55"/>
      <c r="H69" s="55"/>
      <c r="I69" s="55"/>
      <c r="J69" s="55"/>
      <c r="K69" s="55"/>
      <c r="L69" s="55"/>
      <c r="M69" s="55"/>
      <c r="N69" s="55"/>
      <c r="O69" s="55"/>
      <c r="P69" s="55"/>
      <c r="Q69" s="55"/>
      <c r="R69" s="55"/>
      <c r="S69" s="55"/>
      <c r="T69" s="55"/>
      <c r="U69" s="55"/>
      <c r="V69" s="55"/>
      <c r="W69" s="56"/>
    </row>
    <row r="70" spans="1:23">
      <c r="A70" s="55"/>
      <c r="B70" s="55"/>
      <c r="C70" s="55"/>
      <c r="D70" s="55"/>
      <c r="E70" s="55"/>
      <c r="F70" s="55"/>
      <c r="G70" s="55"/>
      <c r="H70" s="55"/>
      <c r="I70" s="55"/>
      <c r="J70" s="55"/>
      <c r="K70" s="55"/>
      <c r="L70" s="55"/>
      <c r="M70" s="55"/>
      <c r="N70" s="55"/>
      <c r="O70" s="55"/>
      <c r="P70" s="55"/>
      <c r="Q70" s="55"/>
      <c r="R70" s="55"/>
      <c r="S70" s="55"/>
      <c r="T70" s="55"/>
      <c r="U70" s="55"/>
      <c r="V70" s="55"/>
      <c r="W70" s="56"/>
    </row>
    <row r="71" spans="1:23">
      <c r="A71" s="55"/>
      <c r="B71" s="55"/>
      <c r="C71" s="55"/>
      <c r="D71" s="55"/>
      <c r="E71" s="55"/>
      <c r="F71" s="55"/>
      <c r="G71" s="55"/>
      <c r="H71" s="55"/>
      <c r="I71" s="55"/>
      <c r="J71" s="55"/>
      <c r="K71" s="55"/>
      <c r="L71" s="55"/>
      <c r="M71" s="55"/>
      <c r="N71" s="55"/>
      <c r="O71" s="55"/>
      <c r="P71" s="55"/>
      <c r="Q71" s="55"/>
      <c r="R71" s="55"/>
      <c r="S71" s="55"/>
      <c r="T71" s="55"/>
      <c r="U71" s="55"/>
      <c r="V71" s="55"/>
      <c r="W71" s="56"/>
    </row>
    <row r="72" spans="1:23">
      <c r="A72" s="55"/>
      <c r="B72" s="55"/>
      <c r="C72" s="55"/>
      <c r="D72" s="55"/>
      <c r="E72" s="55"/>
      <c r="F72" s="55"/>
      <c r="G72" s="55"/>
      <c r="H72" s="55"/>
      <c r="I72" s="55"/>
      <c r="J72" s="55"/>
      <c r="K72" s="55"/>
      <c r="L72" s="55"/>
      <c r="M72" s="55"/>
      <c r="N72" s="55"/>
      <c r="O72" s="55"/>
      <c r="P72" s="55"/>
      <c r="Q72" s="55"/>
      <c r="R72" s="55"/>
      <c r="S72" s="55"/>
      <c r="T72" s="55"/>
      <c r="U72" s="55"/>
      <c r="V72" s="55"/>
      <c r="W72" s="56"/>
    </row>
    <row r="73" spans="1:23">
      <c r="A73" s="55"/>
      <c r="B73" s="55"/>
      <c r="C73" s="55"/>
      <c r="D73" s="55"/>
      <c r="E73" s="55"/>
      <c r="F73" s="55"/>
      <c r="G73" s="55"/>
      <c r="H73" s="55"/>
      <c r="I73" s="55"/>
      <c r="J73" s="55"/>
      <c r="K73" s="55"/>
      <c r="L73" s="55"/>
      <c r="M73" s="55"/>
      <c r="N73" s="55"/>
      <c r="O73" s="55"/>
      <c r="P73" s="55"/>
      <c r="Q73" s="55"/>
      <c r="R73" s="55"/>
      <c r="S73" s="55"/>
      <c r="T73" s="55"/>
      <c r="U73" s="55"/>
      <c r="V73" s="55"/>
      <c r="W73" s="56"/>
    </row>
    <row r="74" spans="1:23">
      <c r="A74" s="55"/>
      <c r="B74" s="55"/>
      <c r="C74" s="55"/>
      <c r="D74" s="55"/>
      <c r="E74" s="55"/>
      <c r="F74" s="55"/>
      <c r="G74" s="55"/>
      <c r="H74" s="55"/>
      <c r="I74" s="55"/>
      <c r="J74" s="55"/>
      <c r="K74" s="55"/>
      <c r="L74" s="55"/>
      <c r="M74" s="55"/>
      <c r="N74" s="55"/>
      <c r="O74" s="55"/>
      <c r="P74" s="55"/>
      <c r="Q74" s="55"/>
      <c r="R74" s="55"/>
      <c r="S74" s="55"/>
      <c r="T74" s="55"/>
      <c r="U74" s="55"/>
      <c r="V74" s="55"/>
      <c r="W74" s="56"/>
    </row>
    <row r="75" spans="1:23">
      <c r="A75" s="55"/>
      <c r="B75" s="55"/>
      <c r="C75" s="55"/>
      <c r="D75" s="55"/>
      <c r="E75" s="55"/>
      <c r="F75" s="55"/>
      <c r="G75" s="55"/>
      <c r="H75" s="55"/>
      <c r="I75" s="55"/>
      <c r="J75" s="55"/>
      <c r="K75" s="55"/>
      <c r="L75" s="55"/>
      <c r="M75" s="55"/>
      <c r="N75" s="55"/>
      <c r="O75" s="55"/>
      <c r="P75" s="55"/>
      <c r="Q75" s="55"/>
      <c r="R75" s="55"/>
      <c r="S75" s="55"/>
      <c r="T75" s="55"/>
      <c r="U75" s="55"/>
      <c r="V75" s="55"/>
      <c r="W75" s="56"/>
    </row>
    <row r="76" spans="1:23">
      <c r="A76" s="55"/>
      <c r="B76" s="55"/>
      <c r="C76" s="55"/>
      <c r="D76" s="55"/>
      <c r="E76" s="55"/>
      <c r="F76" s="55"/>
      <c r="G76" s="55"/>
      <c r="H76" s="55"/>
      <c r="I76" s="55"/>
      <c r="J76" s="55"/>
      <c r="K76" s="55"/>
      <c r="L76" s="55"/>
      <c r="M76" s="55"/>
      <c r="N76" s="55"/>
      <c r="O76" s="55"/>
      <c r="P76" s="55"/>
      <c r="Q76" s="55"/>
      <c r="R76" s="55"/>
      <c r="S76" s="55"/>
      <c r="T76" s="55"/>
      <c r="U76" s="55"/>
      <c r="V76" s="55"/>
      <c r="W76" s="56"/>
    </row>
    <row r="77" spans="1:23">
      <c r="A77" s="55"/>
      <c r="B77" s="55"/>
      <c r="C77" s="55"/>
      <c r="D77" s="55"/>
      <c r="E77" s="55"/>
      <c r="F77" s="55"/>
      <c r="G77" s="55"/>
      <c r="H77" s="55"/>
      <c r="I77" s="55"/>
      <c r="J77" s="55"/>
      <c r="K77" s="55"/>
      <c r="L77" s="55"/>
      <c r="M77" s="55"/>
      <c r="N77" s="55"/>
      <c r="O77" s="55"/>
      <c r="P77" s="55"/>
      <c r="Q77" s="55"/>
      <c r="R77" s="55"/>
      <c r="S77" s="55"/>
      <c r="T77" s="55"/>
      <c r="U77" s="55"/>
      <c r="V77" s="55"/>
      <c r="W77" s="56"/>
    </row>
    <row r="78" spans="1:23">
      <c r="A78" s="55"/>
      <c r="B78" s="55"/>
      <c r="C78" s="55"/>
      <c r="D78" s="55"/>
      <c r="E78" s="55"/>
      <c r="F78" s="55"/>
      <c r="G78" s="55"/>
      <c r="H78" s="55"/>
      <c r="I78" s="55"/>
      <c r="J78" s="55"/>
      <c r="K78" s="55"/>
      <c r="L78" s="55"/>
      <c r="M78" s="55"/>
      <c r="N78" s="55"/>
      <c r="O78" s="55"/>
      <c r="P78" s="55"/>
      <c r="Q78" s="55"/>
      <c r="R78" s="55"/>
      <c r="S78" s="55"/>
      <c r="T78" s="55"/>
      <c r="U78" s="55"/>
      <c r="V78" s="55"/>
      <c r="W78" s="56"/>
    </row>
    <row r="79" spans="1:23">
      <c r="A79" s="55"/>
      <c r="B79" s="55"/>
      <c r="C79" s="55"/>
      <c r="D79" s="55"/>
      <c r="E79" s="55"/>
      <c r="F79" s="55"/>
      <c r="G79" s="55"/>
      <c r="H79" s="55"/>
      <c r="I79" s="55"/>
      <c r="J79" s="55"/>
      <c r="K79" s="55"/>
      <c r="L79" s="55"/>
      <c r="M79" s="55"/>
      <c r="N79" s="55"/>
      <c r="O79" s="55"/>
      <c r="P79" s="55"/>
      <c r="Q79" s="55"/>
      <c r="R79" s="55"/>
      <c r="S79" s="55"/>
      <c r="T79" s="55"/>
      <c r="U79" s="55"/>
      <c r="V79" s="55"/>
      <c r="W79" s="56"/>
    </row>
    <row r="80" spans="1:23">
      <c r="A80" s="55"/>
      <c r="B80" s="55"/>
      <c r="C80" s="55"/>
      <c r="D80" s="55"/>
      <c r="E80" s="55"/>
      <c r="F80" s="55"/>
      <c r="G80" s="55"/>
      <c r="H80" s="55"/>
      <c r="I80" s="55"/>
      <c r="J80" s="55"/>
      <c r="K80" s="55"/>
      <c r="L80" s="55"/>
      <c r="M80" s="55"/>
      <c r="N80" s="55"/>
      <c r="O80" s="55"/>
      <c r="P80" s="55"/>
      <c r="Q80" s="55"/>
      <c r="R80" s="55"/>
      <c r="S80" s="55"/>
      <c r="T80" s="55"/>
      <c r="U80" s="55"/>
      <c r="V80" s="55"/>
      <c r="W80" s="56"/>
    </row>
    <row r="81" spans="1:23">
      <c r="A81" s="55"/>
      <c r="B81" s="55"/>
      <c r="C81" s="55"/>
      <c r="D81" s="55"/>
      <c r="E81" s="55"/>
      <c r="F81" s="55"/>
      <c r="G81" s="55"/>
      <c r="H81" s="55"/>
      <c r="I81" s="55"/>
      <c r="J81" s="55"/>
      <c r="K81" s="55"/>
      <c r="L81" s="55"/>
      <c r="M81" s="55"/>
      <c r="N81" s="55"/>
      <c r="O81" s="55"/>
      <c r="P81" s="55"/>
      <c r="Q81" s="55"/>
      <c r="R81" s="55"/>
      <c r="S81" s="55"/>
      <c r="T81" s="55"/>
      <c r="U81" s="55"/>
      <c r="V81" s="55"/>
      <c r="W81" s="56"/>
    </row>
    <row r="82" spans="1:23">
      <c r="A82" s="55"/>
      <c r="B82" s="55"/>
      <c r="C82" s="55"/>
      <c r="D82" s="55"/>
      <c r="E82" s="55"/>
      <c r="F82" s="55"/>
      <c r="G82" s="55"/>
      <c r="H82" s="55"/>
      <c r="I82" s="55"/>
      <c r="J82" s="55"/>
      <c r="K82" s="55"/>
      <c r="L82" s="55"/>
      <c r="M82" s="55"/>
      <c r="N82" s="55"/>
      <c r="O82" s="55"/>
      <c r="P82" s="55"/>
      <c r="Q82" s="55"/>
      <c r="R82" s="55"/>
      <c r="S82" s="55"/>
      <c r="T82" s="55"/>
      <c r="U82" s="55"/>
      <c r="V82" s="55"/>
      <c r="W82" s="56"/>
    </row>
    <row r="83" spans="1:23">
      <c r="A83" s="55"/>
      <c r="B83" s="55"/>
      <c r="C83" s="55"/>
      <c r="D83" s="55"/>
      <c r="E83" s="55"/>
      <c r="F83" s="55"/>
      <c r="G83" s="55"/>
      <c r="H83" s="55"/>
      <c r="I83" s="55"/>
      <c r="J83" s="55"/>
      <c r="K83" s="55"/>
      <c r="L83" s="55"/>
      <c r="M83" s="55"/>
      <c r="N83" s="55"/>
      <c r="O83" s="55"/>
      <c r="P83" s="55"/>
      <c r="Q83" s="55"/>
      <c r="R83" s="55"/>
      <c r="S83" s="55"/>
      <c r="T83" s="55"/>
      <c r="U83" s="55"/>
      <c r="V83" s="55"/>
      <c r="W83" s="56"/>
    </row>
    <row r="84" spans="1:23">
      <c r="A84" s="55"/>
      <c r="B84" s="55"/>
      <c r="C84" s="55"/>
      <c r="D84" s="55"/>
      <c r="E84" s="55"/>
      <c r="F84" s="55"/>
      <c r="G84" s="55"/>
      <c r="H84" s="55"/>
      <c r="I84" s="55"/>
      <c r="J84" s="55"/>
      <c r="K84" s="55"/>
      <c r="L84" s="55"/>
      <c r="M84" s="55"/>
      <c r="N84" s="55"/>
      <c r="O84" s="55"/>
      <c r="P84" s="55"/>
      <c r="Q84" s="55"/>
      <c r="R84" s="55"/>
      <c r="S84" s="55"/>
      <c r="T84" s="55"/>
      <c r="U84" s="55"/>
      <c r="V84" s="55"/>
      <c r="W84" s="56"/>
    </row>
    <row r="85" spans="1:23">
      <c r="A85" s="55"/>
      <c r="B85" s="55"/>
      <c r="C85" s="55"/>
      <c r="D85" s="55"/>
      <c r="E85" s="55"/>
      <c r="F85" s="55"/>
      <c r="G85" s="55"/>
      <c r="H85" s="55"/>
      <c r="I85" s="55"/>
      <c r="J85" s="55"/>
      <c r="K85" s="55"/>
      <c r="L85" s="55"/>
      <c r="M85" s="55"/>
      <c r="N85" s="55"/>
      <c r="O85" s="55"/>
      <c r="P85" s="55"/>
      <c r="Q85" s="55"/>
      <c r="R85" s="55"/>
      <c r="S85" s="55"/>
      <c r="T85" s="55"/>
      <c r="U85" s="55"/>
      <c r="V85" s="55"/>
      <c r="W85" s="56"/>
    </row>
    <row r="86" spans="1:23">
      <c r="A86" s="55"/>
      <c r="B86" s="55"/>
      <c r="C86" s="55"/>
      <c r="D86" s="55"/>
      <c r="E86" s="55"/>
      <c r="F86" s="55"/>
      <c r="G86" s="55"/>
      <c r="H86" s="55"/>
      <c r="I86" s="55"/>
      <c r="J86" s="55"/>
      <c r="K86" s="55"/>
      <c r="L86" s="55"/>
      <c r="M86" s="55"/>
      <c r="N86" s="55"/>
      <c r="O86" s="55"/>
      <c r="P86" s="55"/>
      <c r="Q86" s="55"/>
      <c r="R86" s="55"/>
      <c r="S86" s="55"/>
      <c r="T86" s="55"/>
      <c r="U86" s="55"/>
      <c r="V86" s="55"/>
      <c r="W86" s="56"/>
    </row>
    <row r="87" spans="1:23">
      <c r="A87" s="55"/>
      <c r="B87" s="55"/>
      <c r="C87" s="55"/>
      <c r="D87" s="55"/>
      <c r="E87" s="55"/>
      <c r="F87" s="55"/>
      <c r="G87" s="55"/>
      <c r="H87" s="55"/>
      <c r="I87" s="55"/>
      <c r="J87" s="55"/>
      <c r="K87" s="55"/>
      <c r="L87" s="55"/>
      <c r="M87" s="55"/>
      <c r="N87" s="55"/>
      <c r="O87" s="55"/>
      <c r="P87" s="55"/>
      <c r="Q87" s="55"/>
      <c r="R87" s="55"/>
      <c r="S87" s="55"/>
      <c r="T87" s="55"/>
      <c r="U87" s="55"/>
      <c r="V87" s="55"/>
      <c r="W87" s="56"/>
    </row>
    <row r="88" spans="1:23">
      <c r="A88" s="55"/>
      <c r="B88" s="55"/>
      <c r="C88" s="55"/>
      <c r="D88" s="55"/>
      <c r="E88" s="55"/>
      <c r="F88" s="55"/>
      <c r="G88" s="55"/>
      <c r="H88" s="55"/>
      <c r="I88" s="55"/>
      <c r="J88" s="55"/>
      <c r="K88" s="55"/>
      <c r="L88" s="55"/>
      <c r="M88" s="55"/>
      <c r="N88" s="55"/>
      <c r="O88" s="55"/>
      <c r="P88" s="55"/>
      <c r="Q88" s="55"/>
      <c r="R88" s="55"/>
      <c r="S88" s="55"/>
      <c r="T88" s="55"/>
      <c r="U88" s="55"/>
      <c r="V88" s="55"/>
      <c r="W88" s="56"/>
    </row>
    <row r="89" spans="1:23">
      <c r="A89" s="55"/>
      <c r="B89" s="55"/>
      <c r="C89" s="55"/>
      <c r="D89" s="55"/>
      <c r="E89" s="55"/>
      <c r="F89" s="55"/>
      <c r="G89" s="55"/>
      <c r="H89" s="55"/>
      <c r="I89" s="55"/>
      <c r="J89" s="55"/>
      <c r="K89" s="55"/>
      <c r="L89" s="55"/>
      <c r="M89" s="55"/>
      <c r="N89" s="55"/>
      <c r="O89" s="55"/>
      <c r="P89" s="55"/>
      <c r="Q89" s="55"/>
      <c r="R89" s="55"/>
      <c r="S89" s="55"/>
      <c r="T89" s="55"/>
      <c r="U89" s="55"/>
      <c r="V89" s="55"/>
      <c r="W89" s="56"/>
    </row>
    <row r="90" spans="1:23">
      <c r="A90" s="55"/>
      <c r="B90" s="55"/>
      <c r="C90" s="55"/>
      <c r="D90" s="55"/>
      <c r="E90" s="55"/>
      <c r="F90" s="55"/>
      <c r="G90" s="55"/>
      <c r="H90" s="55"/>
      <c r="I90" s="55"/>
      <c r="J90" s="55"/>
      <c r="K90" s="55"/>
      <c r="L90" s="55"/>
      <c r="M90" s="55"/>
      <c r="N90" s="55"/>
      <c r="O90" s="55"/>
      <c r="P90" s="55"/>
      <c r="Q90" s="55"/>
      <c r="R90" s="55"/>
      <c r="S90" s="55"/>
      <c r="T90" s="55"/>
      <c r="U90" s="55"/>
      <c r="V90" s="55"/>
      <c r="W90" s="56"/>
    </row>
    <row r="91" spans="1:23">
      <c r="A91" s="55"/>
      <c r="B91" s="55"/>
      <c r="C91" s="55"/>
      <c r="D91" s="55"/>
      <c r="E91" s="55"/>
      <c r="F91" s="55"/>
      <c r="G91" s="55"/>
      <c r="H91" s="55"/>
      <c r="I91" s="55"/>
      <c r="J91" s="55"/>
      <c r="K91" s="55"/>
      <c r="L91" s="55"/>
      <c r="M91" s="55"/>
      <c r="N91" s="55"/>
      <c r="O91" s="55"/>
      <c r="P91" s="55"/>
      <c r="Q91" s="55"/>
      <c r="R91" s="55"/>
      <c r="S91" s="55"/>
      <c r="T91" s="55"/>
      <c r="U91" s="55"/>
      <c r="V91" s="55"/>
      <c r="W91" s="56"/>
    </row>
    <row r="92" spans="1:23">
      <c r="A92" s="55"/>
      <c r="B92" s="55"/>
      <c r="C92" s="55"/>
      <c r="D92" s="55"/>
      <c r="E92" s="55"/>
      <c r="F92" s="55"/>
      <c r="G92" s="55"/>
      <c r="H92" s="55"/>
      <c r="I92" s="55"/>
      <c r="J92" s="55"/>
      <c r="K92" s="55"/>
      <c r="L92" s="55"/>
      <c r="M92" s="55"/>
      <c r="N92" s="55"/>
      <c r="O92" s="55"/>
      <c r="P92" s="55"/>
      <c r="Q92" s="55"/>
      <c r="R92" s="55"/>
      <c r="S92" s="55"/>
      <c r="T92" s="55"/>
      <c r="U92" s="55"/>
      <c r="V92" s="55"/>
      <c r="W92" s="56"/>
    </row>
    <row r="93" spans="1:23">
      <c r="A93" s="55"/>
      <c r="B93" s="55"/>
      <c r="C93" s="55"/>
      <c r="D93" s="55"/>
      <c r="E93" s="55"/>
      <c r="F93" s="55"/>
      <c r="G93" s="55"/>
      <c r="H93" s="55"/>
      <c r="I93" s="55"/>
      <c r="J93" s="55"/>
      <c r="K93" s="55"/>
      <c r="L93" s="55"/>
      <c r="M93" s="55"/>
      <c r="N93" s="55"/>
      <c r="O93" s="55"/>
      <c r="P93" s="55"/>
      <c r="Q93" s="55"/>
      <c r="R93" s="55"/>
      <c r="S93" s="55"/>
      <c r="T93" s="55"/>
      <c r="U93" s="55"/>
      <c r="V93" s="55"/>
      <c r="W93" s="56"/>
    </row>
    <row r="94" spans="1:23">
      <c r="A94" s="55"/>
      <c r="B94" s="55"/>
      <c r="C94" s="55"/>
      <c r="D94" s="55"/>
      <c r="E94" s="55"/>
      <c r="F94" s="55"/>
      <c r="G94" s="55"/>
      <c r="H94" s="55"/>
      <c r="I94" s="55"/>
      <c r="J94" s="55"/>
      <c r="K94" s="55"/>
      <c r="L94" s="55"/>
      <c r="M94" s="55"/>
      <c r="N94" s="55"/>
      <c r="O94" s="55"/>
      <c r="P94" s="55"/>
      <c r="Q94" s="55"/>
      <c r="R94" s="55"/>
      <c r="S94" s="55"/>
      <c r="T94" s="55"/>
      <c r="U94" s="55"/>
      <c r="V94" s="55"/>
      <c r="W94" s="56"/>
    </row>
    <row r="95" spans="1:23">
      <c r="A95" s="55"/>
      <c r="B95" s="55"/>
      <c r="C95" s="55"/>
      <c r="D95" s="55"/>
      <c r="E95" s="55"/>
      <c r="F95" s="55"/>
      <c r="G95" s="55"/>
      <c r="H95" s="55"/>
      <c r="I95" s="55"/>
      <c r="J95" s="55"/>
      <c r="K95" s="55"/>
      <c r="L95" s="55"/>
      <c r="M95" s="55"/>
      <c r="N95" s="55"/>
      <c r="O95" s="55"/>
      <c r="P95" s="55"/>
      <c r="Q95" s="55"/>
      <c r="R95" s="55"/>
      <c r="S95" s="55"/>
      <c r="T95" s="55"/>
      <c r="U95" s="55"/>
      <c r="V95" s="55"/>
      <c r="W95" s="56"/>
    </row>
    <row r="96" spans="1:23">
      <c r="A96" s="55"/>
      <c r="B96" s="55"/>
      <c r="C96" s="55"/>
      <c r="D96" s="55"/>
      <c r="E96" s="55"/>
      <c r="F96" s="55"/>
      <c r="G96" s="55"/>
      <c r="H96" s="55"/>
      <c r="I96" s="55"/>
      <c r="J96" s="55"/>
      <c r="K96" s="55"/>
      <c r="L96" s="55"/>
      <c r="M96" s="55"/>
      <c r="N96" s="55"/>
      <c r="O96" s="55"/>
      <c r="P96" s="55"/>
      <c r="Q96" s="55"/>
      <c r="R96" s="55"/>
      <c r="S96" s="55"/>
      <c r="T96" s="55"/>
      <c r="U96" s="55"/>
      <c r="V96" s="55"/>
      <c r="W96" s="56"/>
    </row>
    <row r="97" spans="1:23">
      <c r="A97" s="55"/>
      <c r="B97" s="55"/>
      <c r="C97" s="55"/>
      <c r="D97" s="55"/>
      <c r="E97" s="55"/>
      <c r="F97" s="55"/>
      <c r="G97" s="55"/>
      <c r="H97" s="55"/>
      <c r="I97" s="55"/>
      <c r="J97" s="55"/>
      <c r="K97" s="55"/>
      <c r="L97" s="55"/>
      <c r="M97" s="55"/>
      <c r="N97" s="55"/>
      <c r="O97" s="55"/>
      <c r="P97" s="55"/>
      <c r="Q97" s="55"/>
      <c r="R97" s="55"/>
      <c r="S97" s="55"/>
      <c r="T97" s="55"/>
      <c r="U97" s="55"/>
      <c r="V97" s="55"/>
      <c r="W97" s="56"/>
    </row>
    <row r="98" spans="1:23">
      <c r="A98" s="55"/>
      <c r="B98" s="55"/>
      <c r="C98" s="55"/>
      <c r="D98" s="55"/>
      <c r="E98" s="55"/>
      <c r="F98" s="55"/>
      <c r="G98" s="55"/>
      <c r="H98" s="55"/>
      <c r="I98" s="55"/>
      <c r="J98" s="55"/>
      <c r="K98" s="55"/>
      <c r="L98" s="55"/>
      <c r="M98" s="55"/>
      <c r="N98" s="55"/>
      <c r="O98" s="55"/>
      <c r="P98" s="55"/>
      <c r="Q98" s="55"/>
      <c r="R98" s="55"/>
      <c r="S98" s="55"/>
      <c r="T98" s="55"/>
      <c r="U98" s="55"/>
      <c r="V98" s="55"/>
      <c r="W98" s="56"/>
    </row>
    <row r="99" spans="1:23">
      <c r="A99" s="55"/>
      <c r="B99" s="55"/>
      <c r="C99" s="55"/>
      <c r="D99" s="55"/>
      <c r="E99" s="55"/>
      <c r="F99" s="55"/>
      <c r="G99" s="55"/>
      <c r="H99" s="55"/>
      <c r="I99" s="55"/>
      <c r="J99" s="55"/>
      <c r="K99" s="55"/>
      <c r="L99" s="55"/>
      <c r="M99" s="55"/>
      <c r="N99" s="55"/>
      <c r="O99" s="55"/>
      <c r="P99" s="55"/>
      <c r="Q99" s="55"/>
      <c r="R99" s="55"/>
      <c r="S99" s="55"/>
      <c r="T99" s="55"/>
      <c r="U99" s="55"/>
      <c r="V99" s="55"/>
      <c r="W99" s="56"/>
    </row>
    <row r="100" spans="1:23">
      <c r="A100" s="55"/>
      <c r="B100" s="55"/>
      <c r="C100" s="55"/>
      <c r="D100" s="55"/>
      <c r="E100" s="55"/>
      <c r="F100" s="55"/>
      <c r="G100" s="55"/>
      <c r="H100" s="55"/>
      <c r="I100" s="55"/>
      <c r="J100" s="55"/>
      <c r="K100" s="55"/>
      <c r="L100" s="55"/>
      <c r="M100" s="55"/>
      <c r="N100" s="55"/>
      <c r="O100" s="55"/>
      <c r="P100" s="55"/>
      <c r="Q100" s="55"/>
      <c r="R100" s="55"/>
      <c r="S100" s="55"/>
      <c r="T100" s="55"/>
      <c r="U100" s="55"/>
      <c r="V100" s="55"/>
      <c r="W100" s="56"/>
    </row>
    <row r="101" spans="1:23">
      <c r="A101" s="55"/>
      <c r="B101" s="55"/>
      <c r="C101" s="55"/>
      <c r="D101" s="55"/>
      <c r="E101" s="55"/>
      <c r="F101" s="55"/>
      <c r="G101" s="55"/>
      <c r="H101" s="55"/>
      <c r="I101" s="55"/>
      <c r="J101" s="55"/>
      <c r="K101" s="55"/>
      <c r="L101" s="55"/>
      <c r="M101" s="55"/>
      <c r="N101" s="55"/>
      <c r="O101" s="55"/>
      <c r="P101" s="55"/>
      <c r="Q101" s="55"/>
      <c r="R101" s="55"/>
      <c r="S101" s="55"/>
      <c r="T101" s="55"/>
      <c r="U101" s="55"/>
      <c r="V101" s="55"/>
      <c r="W101" s="56"/>
    </row>
    <row r="102" spans="1:23">
      <c r="A102" s="55"/>
      <c r="B102" s="55"/>
      <c r="C102" s="55"/>
      <c r="D102" s="55"/>
      <c r="E102" s="55"/>
      <c r="F102" s="55"/>
      <c r="G102" s="55"/>
      <c r="H102" s="55"/>
      <c r="I102" s="55"/>
      <c r="J102" s="55"/>
      <c r="K102" s="55"/>
      <c r="L102" s="55"/>
      <c r="M102" s="55"/>
      <c r="N102" s="55"/>
      <c r="O102" s="55"/>
      <c r="P102" s="55"/>
      <c r="Q102" s="55"/>
      <c r="R102" s="55"/>
      <c r="S102" s="55"/>
      <c r="T102" s="55"/>
      <c r="U102" s="55"/>
      <c r="V102" s="55"/>
      <c r="W102" s="56"/>
    </row>
    <row r="103" spans="1:23">
      <c r="A103" s="55"/>
      <c r="B103" s="55"/>
      <c r="C103" s="55"/>
      <c r="D103" s="55"/>
      <c r="E103" s="55"/>
      <c r="F103" s="55"/>
      <c r="G103" s="55"/>
      <c r="H103" s="55"/>
      <c r="I103" s="55"/>
      <c r="J103" s="55"/>
      <c r="K103" s="55"/>
      <c r="L103" s="55"/>
      <c r="M103" s="55"/>
      <c r="N103" s="55"/>
      <c r="O103" s="55"/>
      <c r="P103" s="55"/>
      <c r="Q103" s="55"/>
      <c r="R103" s="55"/>
      <c r="S103" s="55"/>
      <c r="T103" s="55"/>
      <c r="U103" s="55"/>
      <c r="V103" s="55"/>
      <c r="W103" s="56"/>
    </row>
    <row r="104" spans="1:23">
      <c r="A104" s="55"/>
      <c r="B104" s="55"/>
      <c r="C104" s="55"/>
      <c r="D104" s="55"/>
      <c r="E104" s="55"/>
      <c r="F104" s="55"/>
      <c r="G104" s="55"/>
      <c r="H104" s="55"/>
      <c r="I104" s="55"/>
      <c r="J104" s="55"/>
      <c r="K104" s="55"/>
      <c r="L104" s="55"/>
      <c r="M104" s="55"/>
      <c r="N104" s="55"/>
      <c r="O104" s="55"/>
      <c r="P104" s="55"/>
      <c r="Q104" s="55"/>
      <c r="R104" s="55"/>
      <c r="S104" s="55"/>
      <c r="T104" s="55"/>
      <c r="U104" s="55"/>
      <c r="V104" s="55"/>
      <c r="W104" s="56"/>
    </row>
    <row r="105" spans="1:23">
      <c r="A105" s="55"/>
      <c r="B105" s="55"/>
      <c r="C105" s="55"/>
      <c r="D105" s="55"/>
      <c r="E105" s="55"/>
      <c r="F105" s="55"/>
      <c r="G105" s="55"/>
      <c r="H105" s="55"/>
      <c r="I105" s="55"/>
      <c r="J105" s="55"/>
      <c r="K105" s="55"/>
      <c r="L105" s="55"/>
      <c r="M105" s="55"/>
      <c r="N105" s="55"/>
      <c r="O105" s="55"/>
      <c r="P105" s="55"/>
      <c r="Q105" s="55"/>
      <c r="R105" s="55"/>
      <c r="S105" s="55"/>
      <c r="T105" s="55"/>
      <c r="U105" s="55"/>
      <c r="V105" s="55"/>
      <c r="W105" s="56"/>
    </row>
    <row r="106" spans="1:23">
      <c r="A106" s="55"/>
      <c r="B106" s="55"/>
      <c r="C106" s="55"/>
      <c r="D106" s="55"/>
      <c r="E106" s="55"/>
      <c r="F106" s="55"/>
      <c r="G106" s="55"/>
      <c r="H106" s="55"/>
      <c r="I106" s="55"/>
      <c r="J106" s="55"/>
      <c r="K106" s="55"/>
      <c r="L106" s="55"/>
      <c r="M106" s="55"/>
      <c r="N106" s="55"/>
      <c r="O106" s="55"/>
      <c r="P106" s="55"/>
      <c r="Q106" s="55"/>
      <c r="R106" s="55"/>
      <c r="S106" s="55"/>
      <c r="T106" s="55"/>
      <c r="U106" s="55"/>
      <c r="V106" s="55"/>
      <c r="W106" s="56"/>
    </row>
    <row r="107" spans="1:23">
      <c r="A107" s="55"/>
      <c r="B107" s="55"/>
      <c r="C107" s="55"/>
      <c r="D107" s="55"/>
      <c r="E107" s="55"/>
      <c r="F107" s="55"/>
      <c r="G107" s="55"/>
      <c r="H107" s="55"/>
      <c r="I107" s="55"/>
      <c r="J107" s="55"/>
      <c r="K107" s="55"/>
      <c r="L107" s="55"/>
      <c r="M107" s="55"/>
      <c r="N107" s="55"/>
      <c r="O107" s="55"/>
      <c r="P107" s="55"/>
      <c r="Q107" s="55"/>
      <c r="R107" s="55"/>
      <c r="S107" s="55"/>
      <c r="T107" s="55"/>
      <c r="U107" s="55"/>
      <c r="V107" s="55"/>
      <c r="W107" s="56"/>
    </row>
    <row r="108" spans="1:23">
      <c r="A108" s="55"/>
      <c r="B108" s="55"/>
      <c r="C108" s="55"/>
      <c r="D108" s="55"/>
      <c r="E108" s="55"/>
      <c r="F108" s="55"/>
      <c r="G108" s="55"/>
      <c r="H108" s="55"/>
      <c r="I108" s="55"/>
      <c r="J108" s="55"/>
      <c r="K108" s="55"/>
      <c r="L108" s="55"/>
      <c r="M108" s="55"/>
      <c r="N108" s="55"/>
      <c r="O108" s="55"/>
      <c r="P108" s="55"/>
      <c r="Q108" s="55"/>
      <c r="R108" s="55"/>
      <c r="S108" s="55"/>
      <c r="T108" s="55"/>
      <c r="U108" s="55"/>
      <c r="V108" s="55"/>
      <c r="W108" s="56"/>
    </row>
    <row r="109" spans="1:23">
      <c r="A109" s="55"/>
      <c r="B109" s="55"/>
      <c r="C109" s="55"/>
      <c r="D109" s="55"/>
      <c r="E109" s="55"/>
      <c r="F109" s="55"/>
      <c r="G109" s="55"/>
      <c r="H109" s="55"/>
      <c r="I109" s="55"/>
      <c r="J109" s="55"/>
      <c r="K109" s="55"/>
      <c r="L109" s="55"/>
      <c r="M109" s="55"/>
      <c r="N109" s="55"/>
      <c r="O109" s="55"/>
      <c r="P109" s="55"/>
      <c r="Q109" s="55"/>
      <c r="R109" s="55"/>
      <c r="S109" s="55"/>
      <c r="T109" s="55"/>
      <c r="U109" s="55"/>
      <c r="V109" s="55"/>
      <c r="W109" s="56"/>
    </row>
    <row r="110" spans="1:23">
      <c r="A110" s="55"/>
      <c r="B110" s="55"/>
      <c r="C110" s="55"/>
      <c r="D110" s="55"/>
      <c r="E110" s="55"/>
      <c r="F110" s="55"/>
      <c r="G110" s="55"/>
      <c r="H110" s="55"/>
      <c r="I110" s="55"/>
      <c r="J110" s="55"/>
      <c r="K110" s="55"/>
      <c r="L110" s="55"/>
      <c r="M110" s="55"/>
      <c r="N110" s="55"/>
      <c r="O110" s="55"/>
      <c r="P110" s="55"/>
      <c r="Q110" s="55"/>
      <c r="R110" s="55"/>
      <c r="S110" s="55"/>
      <c r="T110" s="55"/>
      <c r="U110" s="55"/>
      <c r="V110" s="55"/>
      <c r="W110" s="56"/>
    </row>
    <row r="111" spans="1:23">
      <c r="A111" s="55"/>
      <c r="B111" s="55"/>
      <c r="C111" s="55"/>
      <c r="D111" s="55"/>
      <c r="E111" s="55"/>
      <c r="F111" s="55"/>
      <c r="G111" s="55"/>
      <c r="H111" s="55"/>
      <c r="I111" s="55"/>
      <c r="J111" s="55"/>
      <c r="K111" s="55"/>
      <c r="L111" s="55"/>
      <c r="M111" s="55"/>
      <c r="N111" s="55"/>
      <c r="O111" s="55"/>
      <c r="P111" s="55"/>
      <c r="Q111" s="55"/>
      <c r="R111" s="55"/>
      <c r="S111" s="55"/>
      <c r="T111" s="55"/>
      <c r="U111" s="55"/>
      <c r="V111" s="55"/>
      <c r="W111" s="56"/>
    </row>
    <row r="112" spans="1:23">
      <c r="A112" s="55"/>
      <c r="B112" s="55"/>
      <c r="C112" s="55"/>
      <c r="D112" s="55"/>
      <c r="E112" s="55"/>
      <c r="F112" s="55"/>
      <c r="G112" s="55"/>
      <c r="H112" s="55"/>
      <c r="I112" s="55"/>
      <c r="J112" s="55"/>
      <c r="K112" s="55"/>
      <c r="L112" s="55"/>
      <c r="M112" s="55"/>
      <c r="N112" s="55"/>
      <c r="O112" s="55"/>
      <c r="P112" s="55"/>
      <c r="Q112" s="55"/>
      <c r="R112" s="55"/>
      <c r="S112" s="55"/>
      <c r="T112" s="55"/>
      <c r="U112" s="55"/>
      <c r="V112" s="55"/>
      <c r="W112" s="56"/>
    </row>
    <row r="113" spans="1:23">
      <c r="A113" s="55"/>
      <c r="B113" s="55"/>
      <c r="C113" s="55"/>
      <c r="D113" s="55"/>
      <c r="E113" s="55"/>
      <c r="F113" s="55"/>
      <c r="G113" s="55"/>
      <c r="H113" s="55"/>
      <c r="I113" s="55"/>
      <c r="J113" s="55"/>
      <c r="K113" s="55"/>
      <c r="L113" s="55"/>
      <c r="M113" s="55"/>
      <c r="N113" s="55"/>
      <c r="O113" s="55"/>
      <c r="P113" s="55"/>
      <c r="Q113" s="55"/>
      <c r="R113" s="55"/>
      <c r="S113" s="55"/>
      <c r="T113" s="55"/>
      <c r="U113" s="55"/>
      <c r="V113" s="55"/>
      <c r="W113" s="56"/>
    </row>
    <row r="114" spans="1:23">
      <c r="A114" s="55"/>
      <c r="B114" s="55"/>
      <c r="C114" s="55"/>
      <c r="D114" s="55"/>
      <c r="E114" s="55"/>
      <c r="F114" s="55"/>
      <c r="G114" s="55"/>
      <c r="H114" s="55"/>
      <c r="I114" s="55"/>
      <c r="J114" s="55"/>
      <c r="K114" s="55"/>
      <c r="L114" s="55"/>
      <c r="M114" s="55"/>
      <c r="N114" s="55"/>
      <c r="O114" s="55"/>
      <c r="P114" s="55"/>
      <c r="Q114" s="55"/>
      <c r="R114" s="55"/>
      <c r="S114" s="55"/>
      <c r="T114" s="55"/>
      <c r="U114" s="55"/>
      <c r="V114" s="55"/>
      <c r="W114" s="56"/>
    </row>
    <row r="115" spans="1:23">
      <c r="A115" s="55"/>
      <c r="B115" s="55"/>
      <c r="C115" s="55"/>
      <c r="D115" s="55"/>
      <c r="E115" s="55"/>
      <c r="F115" s="55"/>
      <c r="G115" s="55"/>
      <c r="H115" s="55"/>
      <c r="I115" s="55"/>
      <c r="J115" s="55"/>
      <c r="K115" s="55"/>
      <c r="L115" s="55"/>
      <c r="M115" s="55"/>
      <c r="N115" s="55"/>
      <c r="O115" s="55"/>
      <c r="P115" s="55"/>
      <c r="Q115" s="55"/>
      <c r="R115" s="55"/>
      <c r="S115" s="55"/>
      <c r="T115" s="55"/>
      <c r="U115" s="55"/>
      <c r="V115" s="55"/>
      <c r="W115" s="56"/>
    </row>
    <row r="116" spans="1:23">
      <c r="A116" s="55"/>
      <c r="B116" s="55"/>
      <c r="C116" s="55"/>
      <c r="D116" s="55"/>
      <c r="E116" s="55"/>
      <c r="F116" s="55"/>
      <c r="G116" s="55"/>
      <c r="H116" s="55"/>
      <c r="I116" s="55"/>
      <c r="J116" s="55"/>
      <c r="K116" s="55"/>
      <c r="L116" s="55"/>
      <c r="M116" s="55"/>
      <c r="N116" s="55"/>
      <c r="O116" s="55"/>
      <c r="P116" s="55"/>
      <c r="Q116" s="55"/>
      <c r="R116" s="55"/>
      <c r="S116" s="55"/>
      <c r="T116" s="55"/>
      <c r="U116" s="55"/>
      <c r="V116" s="55"/>
      <c r="W116" s="56"/>
    </row>
    <row r="117" spans="1:23">
      <c r="A117" s="55"/>
      <c r="B117" s="55"/>
      <c r="C117" s="55"/>
      <c r="D117" s="55"/>
      <c r="E117" s="55"/>
      <c r="F117" s="55"/>
      <c r="G117" s="55"/>
      <c r="H117" s="55"/>
      <c r="I117" s="55"/>
      <c r="J117" s="55"/>
      <c r="K117" s="55"/>
      <c r="L117" s="55"/>
      <c r="M117" s="55"/>
      <c r="N117" s="55"/>
      <c r="O117" s="55"/>
      <c r="P117" s="55"/>
      <c r="Q117" s="55"/>
      <c r="R117" s="55"/>
      <c r="S117" s="55"/>
      <c r="T117" s="55"/>
      <c r="U117" s="55"/>
      <c r="V117" s="55"/>
      <c r="W117" s="56"/>
    </row>
    <row r="118" spans="1:23">
      <c r="A118" s="55"/>
      <c r="B118" s="55"/>
      <c r="C118" s="55"/>
      <c r="D118" s="55"/>
      <c r="E118" s="55"/>
      <c r="F118" s="55"/>
      <c r="G118" s="55"/>
      <c r="H118" s="55"/>
      <c r="I118" s="55"/>
      <c r="J118" s="55"/>
      <c r="K118" s="55"/>
      <c r="L118" s="55"/>
      <c r="M118" s="55"/>
      <c r="N118" s="55"/>
      <c r="O118" s="55"/>
      <c r="P118" s="55"/>
      <c r="Q118" s="55"/>
      <c r="R118" s="55"/>
      <c r="S118" s="55"/>
      <c r="T118" s="55"/>
      <c r="U118" s="55"/>
      <c r="V118" s="55"/>
      <c r="W118" s="56"/>
    </row>
    <row r="119" spans="1:23">
      <c r="A119" s="55"/>
      <c r="B119" s="55"/>
      <c r="C119" s="55"/>
      <c r="D119" s="55"/>
      <c r="E119" s="55"/>
      <c r="F119" s="55"/>
      <c r="G119" s="55"/>
      <c r="H119" s="55"/>
      <c r="I119" s="55"/>
      <c r="J119" s="55"/>
      <c r="K119" s="55"/>
      <c r="L119" s="55"/>
      <c r="M119" s="55"/>
      <c r="N119" s="55"/>
      <c r="O119" s="55"/>
      <c r="P119" s="55"/>
      <c r="Q119" s="55"/>
      <c r="R119" s="55"/>
      <c r="S119" s="55"/>
      <c r="T119" s="55"/>
      <c r="U119" s="55"/>
      <c r="V119" s="55"/>
      <c r="W119" s="56"/>
    </row>
    <row r="120" spans="1:23">
      <c r="A120" s="55"/>
      <c r="B120" s="55"/>
      <c r="C120" s="55"/>
      <c r="D120" s="55"/>
      <c r="E120" s="55"/>
      <c r="F120" s="55"/>
      <c r="G120" s="55"/>
      <c r="H120" s="55"/>
      <c r="I120" s="55"/>
      <c r="J120" s="55"/>
      <c r="K120" s="55"/>
      <c r="L120" s="55"/>
      <c r="M120" s="55"/>
      <c r="N120" s="55"/>
      <c r="O120" s="55"/>
      <c r="P120" s="55"/>
      <c r="Q120" s="55"/>
      <c r="R120" s="55"/>
      <c r="S120" s="55"/>
      <c r="T120" s="55"/>
      <c r="U120" s="55"/>
      <c r="V120" s="55"/>
      <c r="W120" s="56"/>
    </row>
    <row r="121" spans="1:23">
      <c r="A121" s="55"/>
      <c r="B121" s="55"/>
      <c r="C121" s="55"/>
      <c r="D121" s="55"/>
      <c r="E121" s="55"/>
      <c r="F121" s="55"/>
      <c r="G121" s="55"/>
      <c r="H121" s="55"/>
      <c r="I121" s="55"/>
      <c r="J121" s="55"/>
      <c r="K121" s="55"/>
      <c r="L121" s="55"/>
      <c r="M121" s="55"/>
      <c r="N121" s="55"/>
      <c r="O121" s="55"/>
      <c r="P121" s="55"/>
      <c r="Q121" s="55"/>
      <c r="R121" s="55"/>
      <c r="S121" s="55"/>
      <c r="T121" s="55"/>
      <c r="U121" s="55"/>
      <c r="V121" s="55"/>
      <c r="W121" s="56"/>
    </row>
    <row r="122" spans="1:23">
      <c r="A122" s="55"/>
      <c r="B122" s="55"/>
      <c r="C122" s="55"/>
      <c r="D122" s="55"/>
      <c r="E122" s="55"/>
      <c r="F122" s="55"/>
      <c r="G122" s="55"/>
      <c r="H122" s="55"/>
      <c r="I122" s="55"/>
      <c r="J122" s="55"/>
      <c r="K122" s="55"/>
      <c r="L122" s="55"/>
      <c r="M122" s="55"/>
      <c r="N122" s="55"/>
      <c r="O122" s="55"/>
      <c r="P122" s="55"/>
      <c r="Q122" s="55"/>
      <c r="R122" s="55"/>
      <c r="S122" s="55"/>
      <c r="T122" s="55"/>
      <c r="U122" s="55"/>
      <c r="V122" s="55"/>
      <c r="W122" s="56"/>
    </row>
    <row r="123" spans="1:23">
      <c r="A123" s="55"/>
      <c r="B123" s="55"/>
      <c r="C123" s="55"/>
      <c r="D123" s="55"/>
      <c r="E123" s="55"/>
      <c r="F123" s="55"/>
      <c r="G123" s="55"/>
      <c r="H123" s="55"/>
      <c r="I123" s="55"/>
      <c r="J123" s="55"/>
      <c r="K123" s="55"/>
      <c r="L123" s="55"/>
      <c r="M123" s="55"/>
      <c r="N123" s="55"/>
      <c r="O123" s="55"/>
      <c r="P123" s="55"/>
      <c r="Q123" s="55"/>
      <c r="R123" s="55"/>
      <c r="S123" s="55"/>
      <c r="T123" s="55"/>
      <c r="U123" s="55"/>
      <c r="V123" s="55"/>
      <c r="W123" s="56"/>
    </row>
    <row r="124" spans="1:23">
      <c r="A124" s="55"/>
      <c r="B124" s="55"/>
      <c r="C124" s="55"/>
      <c r="D124" s="55"/>
      <c r="E124" s="55"/>
      <c r="F124" s="55"/>
      <c r="G124" s="55"/>
      <c r="H124" s="55"/>
      <c r="I124" s="55"/>
      <c r="J124" s="55"/>
      <c r="K124" s="55"/>
      <c r="L124" s="55"/>
      <c r="M124" s="55"/>
      <c r="N124" s="55"/>
      <c r="O124" s="55"/>
      <c r="P124" s="55"/>
      <c r="Q124" s="55"/>
      <c r="R124" s="55"/>
      <c r="S124" s="55"/>
      <c r="T124" s="55"/>
      <c r="U124" s="55"/>
      <c r="V124" s="55"/>
      <c r="W124" s="56"/>
    </row>
    <row r="125" spans="1:23">
      <c r="A125" s="55"/>
      <c r="B125" s="55"/>
      <c r="C125" s="55"/>
      <c r="D125" s="55"/>
      <c r="E125" s="55"/>
      <c r="F125" s="55"/>
      <c r="G125" s="55"/>
      <c r="H125" s="55"/>
      <c r="I125" s="55"/>
      <c r="J125" s="55"/>
      <c r="K125" s="55"/>
      <c r="L125" s="55"/>
      <c r="M125" s="55"/>
      <c r="N125" s="55"/>
      <c r="O125" s="55"/>
      <c r="P125" s="55"/>
      <c r="Q125" s="55"/>
      <c r="R125" s="55"/>
      <c r="S125" s="55"/>
      <c r="T125" s="55"/>
      <c r="U125" s="55"/>
      <c r="V125" s="55"/>
      <c r="W125" s="56"/>
    </row>
    <row r="126" spans="1:23">
      <c r="A126" s="55"/>
      <c r="B126" s="55"/>
      <c r="C126" s="55"/>
      <c r="D126" s="55"/>
      <c r="E126" s="55"/>
      <c r="F126" s="55"/>
      <c r="G126" s="55"/>
      <c r="H126" s="55"/>
      <c r="I126" s="55"/>
      <c r="J126" s="55"/>
      <c r="K126" s="55"/>
      <c r="L126" s="55"/>
      <c r="M126" s="55"/>
      <c r="N126" s="55"/>
      <c r="O126" s="55"/>
      <c r="P126" s="55"/>
      <c r="Q126" s="55"/>
      <c r="R126" s="55"/>
      <c r="S126" s="55"/>
      <c r="T126" s="55"/>
      <c r="U126" s="55"/>
      <c r="V126" s="55"/>
      <c r="W126" s="56"/>
    </row>
    <row r="127" spans="1:23">
      <c r="A127" s="55"/>
      <c r="B127" s="55"/>
      <c r="C127" s="55"/>
      <c r="D127" s="55"/>
      <c r="E127" s="55"/>
      <c r="F127" s="55"/>
      <c r="G127" s="55"/>
      <c r="H127" s="55"/>
      <c r="I127" s="55"/>
      <c r="J127" s="55"/>
      <c r="K127" s="55"/>
      <c r="L127" s="55"/>
      <c r="M127" s="55"/>
      <c r="N127" s="55"/>
      <c r="O127" s="55"/>
      <c r="P127" s="55"/>
      <c r="Q127" s="55"/>
      <c r="R127" s="55"/>
      <c r="S127" s="55"/>
      <c r="T127" s="55"/>
      <c r="U127" s="55"/>
      <c r="V127" s="55"/>
      <c r="W127" s="56"/>
    </row>
    <row r="128" spans="1:23">
      <c r="A128" s="55"/>
      <c r="B128" s="55"/>
      <c r="C128" s="55"/>
      <c r="D128" s="55"/>
      <c r="E128" s="55"/>
      <c r="F128" s="55"/>
      <c r="G128" s="55"/>
      <c r="H128" s="55"/>
      <c r="I128" s="55"/>
      <c r="J128" s="55"/>
      <c r="K128" s="55"/>
      <c r="L128" s="55"/>
      <c r="M128" s="55"/>
      <c r="N128" s="55"/>
      <c r="O128" s="55"/>
      <c r="P128" s="55"/>
      <c r="Q128" s="55"/>
      <c r="R128" s="55"/>
      <c r="S128" s="55"/>
      <c r="T128" s="55"/>
      <c r="U128" s="55"/>
      <c r="V128" s="55"/>
      <c r="W128" s="56"/>
    </row>
    <row r="129" spans="1:23">
      <c r="A129" s="55"/>
      <c r="B129" s="55"/>
      <c r="C129" s="55"/>
      <c r="D129" s="55"/>
      <c r="E129" s="55"/>
      <c r="F129" s="55"/>
      <c r="G129" s="55"/>
      <c r="H129" s="55"/>
      <c r="I129" s="55"/>
      <c r="J129" s="55"/>
      <c r="K129" s="55"/>
      <c r="L129" s="55"/>
      <c r="M129" s="55"/>
      <c r="N129" s="55"/>
      <c r="O129" s="55"/>
      <c r="P129" s="55"/>
      <c r="Q129" s="55"/>
      <c r="R129" s="55"/>
      <c r="S129" s="55"/>
      <c r="T129" s="55"/>
      <c r="U129" s="55"/>
      <c r="V129" s="55"/>
      <c r="W129" s="56"/>
    </row>
    <row r="130" spans="1:23">
      <c r="A130" s="55"/>
      <c r="B130" s="55"/>
      <c r="C130" s="55"/>
      <c r="D130" s="55"/>
      <c r="E130" s="55"/>
      <c r="F130" s="55"/>
      <c r="G130" s="55"/>
      <c r="H130" s="55"/>
      <c r="I130" s="55"/>
      <c r="J130" s="55"/>
      <c r="K130" s="55"/>
      <c r="L130" s="55"/>
      <c r="M130" s="55"/>
      <c r="N130" s="55"/>
      <c r="O130" s="55"/>
      <c r="P130" s="55"/>
      <c r="Q130" s="55"/>
      <c r="R130" s="55"/>
      <c r="S130" s="55"/>
      <c r="T130" s="55"/>
      <c r="U130" s="55"/>
      <c r="V130" s="55"/>
      <c r="W130" s="56"/>
    </row>
    <row r="131" spans="1:23">
      <c r="A131" s="55"/>
      <c r="B131" s="55"/>
      <c r="C131" s="55"/>
      <c r="D131" s="55"/>
      <c r="E131" s="55"/>
      <c r="F131" s="55"/>
      <c r="G131" s="55"/>
      <c r="H131" s="55"/>
      <c r="I131" s="55"/>
      <c r="J131" s="55"/>
      <c r="K131" s="55"/>
      <c r="L131" s="55"/>
      <c r="M131" s="55"/>
      <c r="N131" s="55"/>
      <c r="O131" s="55"/>
      <c r="P131" s="55"/>
      <c r="Q131" s="55"/>
      <c r="R131" s="55"/>
      <c r="S131" s="55"/>
      <c r="T131" s="55"/>
      <c r="U131" s="55"/>
      <c r="V131" s="55"/>
      <c r="W131" s="56"/>
    </row>
    <row r="132" spans="1:23">
      <c r="A132" s="55"/>
      <c r="B132" s="55"/>
      <c r="C132" s="55"/>
      <c r="D132" s="55"/>
      <c r="E132" s="55"/>
      <c r="F132" s="55"/>
      <c r="G132" s="55"/>
      <c r="H132" s="55"/>
      <c r="I132" s="55"/>
      <c r="J132" s="55"/>
      <c r="K132" s="55"/>
      <c r="L132" s="55"/>
      <c r="M132" s="55"/>
      <c r="N132" s="55"/>
      <c r="O132" s="55"/>
      <c r="P132" s="55"/>
      <c r="Q132" s="55"/>
      <c r="R132" s="55"/>
      <c r="S132" s="55"/>
      <c r="T132" s="55"/>
      <c r="U132" s="55"/>
      <c r="V132" s="55"/>
      <c r="W132" s="56"/>
    </row>
    <row r="133" spans="1:23">
      <c r="A133" s="55"/>
      <c r="B133" s="55"/>
      <c r="C133" s="55"/>
      <c r="D133" s="55"/>
      <c r="E133" s="55"/>
      <c r="F133" s="55"/>
      <c r="G133" s="55"/>
      <c r="H133" s="55"/>
      <c r="I133" s="55"/>
      <c r="J133" s="55"/>
      <c r="K133" s="55"/>
      <c r="L133" s="55"/>
      <c r="M133" s="55"/>
      <c r="N133" s="55"/>
      <c r="O133" s="55"/>
      <c r="P133" s="55"/>
      <c r="Q133" s="55"/>
      <c r="R133" s="55"/>
      <c r="S133" s="55"/>
      <c r="T133" s="55"/>
      <c r="U133" s="55"/>
      <c r="V133" s="55"/>
      <c r="W133" s="56"/>
    </row>
    <row r="134" spans="1:23">
      <c r="A134" s="55"/>
      <c r="B134" s="55"/>
      <c r="C134" s="55"/>
      <c r="D134" s="55"/>
      <c r="E134" s="55"/>
      <c r="F134" s="55"/>
      <c r="G134" s="55"/>
      <c r="H134" s="55"/>
      <c r="I134" s="55"/>
      <c r="J134" s="55"/>
      <c r="K134" s="55"/>
      <c r="L134" s="55"/>
      <c r="M134" s="55"/>
      <c r="N134" s="55"/>
      <c r="O134" s="55"/>
      <c r="P134" s="55"/>
      <c r="Q134" s="55"/>
      <c r="R134" s="55"/>
      <c r="S134" s="55"/>
      <c r="T134" s="55"/>
      <c r="U134" s="55"/>
      <c r="V134" s="55"/>
      <c r="W134" s="56"/>
    </row>
    <row r="135" spans="1:23">
      <c r="A135" s="55"/>
      <c r="B135" s="55"/>
      <c r="C135" s="55"/>
      <c r="D135" s="55"/>
      <c r="E135" s="55"/>
      <c r="F135" s="55"/>
      <c r="G135" s="55"/>
      <c r="H135" s="55"/>
      <c r="I135" s="55"/>
      <c r="J135" s="55"/>
      <c r="K135" s="55"/>
      <c r="L135" s="55"/>
      <c r="M135" s="55"/>
      <c r="N135" s="55"/>
      <c r="O135" s="55"/>
      <c r="P135" s="55"/>
      <c r="Q135" s="55"/>
      <c r="R135" s="55"/>
      <c r="S135" s="55"/>
      <c r="T135" s="55"/>
      <c r="U135" s="55"/>
      <c r="V135" s="55"/>
      <c r="W135" s="56"/>
    </row>
    <row r="136" spans="1:23">
      <c r="A136" s="55"/>
      <c r="B136" s="55"/>
      <c r="C136" s="55"/>
      <c r="D136" s="55"/>
      <c r="E136" s="55"/>
      <c r="F136" s="55"/>
      <c r="G136" s="55"/>
      <c r="H136" s="55"/>
      <c r="I136" s="55"/>
      <c r="J136" s="55"/>
      <c r="K136" s="55"/>
      <c r="L136" s="55"/>
      <c r="M136" s="55"/>
      <c r="N136" s="55"/>
      <c r="O136" s="55"/>
      <c r="P136" s="55"/>
      <c r="Q136" s="55"/>
      <c r="R136" s="55"/>
      <c r="S136" s="55"/>
      <c r="T136" s="55"/>
      <c r="U136" s="55"/>
      <c r="V136" s="55"/>
      <c r="W136" s="56"/>
    </row>
    <row r="137" spans="1:23">
      <c r="A137" s="55"/>
      <c r="B137" s="55"/>
      <c r="C137" s="55"/>
      <c r="D137" s="55"/>
      <c r="E137" s="55"/>
      <c r="F137" s="55"/>
      <c r="G137" s="55"/>
      <c r="H137" s="55"/>
      <c r="I137" s="55"/>
      <c r="J137" s="55"/>
      <c r="K137" s="55"/>
      <c r="L137" s="55"/>
      <c r="M137" s="55"/>
      <c r="N137" s="55"/>
      <c r="O137" s="55"/>
      <c r="P137" s="55"/>
      <c r="Q137" s="55"/>
      <c r="R137" s="55"/>
      <c r="S137" s="55"/>
      <c r="T137" s="55"/>
      <c r="U137" s="55"/>
      <c r="V137" s="55"/>
      <c r="W137" s="56"/>
    </row>
    <row r="138" spans="1:23">
      <c r="A138" s="55"/>
      <c r="B138" s="55"/>
      <c r="C138" s="55"/>
      <c r="D138" s="55"/>
      <c r="E138" s="55"/>
      <c r="F138" s="55"/>
      <c r="G138" s="55"/>
      <c r="H138" s="55"/>
      <c r="I138" s="55"/>
      <c r="J138" s="55"/>
      <c r="K138" s="55"/>
      <c r="L138" s="55"/>
      <c r="M138" s="55"/>
      <c r="N138" s="55"/>
      <c r="O138" s="55"/>
      <c r="P138" s="55"/>
      <c r="Q138" s="55"/>
      <c r="R138" s="55"/>
      <c r="S138" s="55"/>
      <c r="T138" s="55"/>
      <c r="U138" s="55"/>
      <c r="V138" s="55"/>
      <c r="W138" s="56"/>
    </row>
    <row r="139" spans="1:23">
      <c r="A139" s="55"/>
      <c r="B139" s="55"/>
      <c r="C139" s="55"/>
      <c r="D139" s="55"/>
      <c r="E139" s="55"/>
      <c r="F139" s="55"/>
      <c r="G139" s="55"/>
      <c r="H139" s="55"/>
      <c r="I139" s="55"/>
      <c r="J139" s="55"/>
      <c r="K139" s="55"/>
      <c r="L139" s="55"/>
      <c r="M139" s="55"/>
      <c r="N139" s="55"/>
      <c r="O139" s="55"/>
      <c r="P139" s="55"/>
      <c r="Q139" s="55"/>
      <c r="R139" s="55"/>
      <c r="S139" s="55"/>
      <c r="T139" s="55"/>
      <c r="U139" s="55"/>
      <c r="V139" s="55"/>
      <c r="W139" s="56"/>
    </row>
    <row r="140" spans="1:23">
      <c r="A140" s="55"/>
      <c r="B140" s="55"/>
      <c r="C140" s="55"/>
      <c r="D140" s="55"/>
      <c r="E140" s="55"/>
      <c r="F140" s="55"/>
      <c r="G140" s="55"/>
      <c r="H140" s="55"/>
      <c r="I140" s="55"/>
      <c r="J140" s="55"/>
      <c r="K140" s="55"/>
      <c r="L140" s="55"/>
      <c r="M140" s="55"/>
      <c r="N140" s="55"/>
      <c r="O140" s="55"/>
      <c r="P140" s="55"/>
      <c r="Q140" s="55"/>
      <c r="R140" s="55"/>
      <c r="S140" s="55"/>
      <c r="T140" s="55"/>
      <c r="U140" s="55"/>
      <c r="V140" s="55"/>
      <c r="W140" s="56"/>
    </row>
    <row r="141" spans="1:23">
      <c r="A141" s="55"/>
      <c r="B141" s="55"/>
      <c r="C141" s="55"/>
      <c r="D141" s="55"/>
      <c r="E141" s="55"/>
      <c r="F141" s="55"/>
      <c r="G141" s="55"/>
      <c r="H141" s="55"/>
      <c r="I141" s="55"/>
      <c r="J141" s="55"/>
      <c r="K141" s="55"/>
      <c r="L141" s="55"/>
      <c r="M141" s="55"/>
      <c r="N141" s="55"/>
      <c r="O141" s="55"/>
      <c r="P141" s="55"/>
      <c r="Q141" s="55"/>
      <c r="R141" s="55"/>
      <c r="S141" s="55"/>
      <c r="T141" s="55"/>
      <c r="U141" s="55"/>
      <c r="V141" s="55"/>
      <c r="W141" s="56"/>
    </row>
    <row r="142" spans="1:23">
      <c r="A142" s="55"/>
      <c r="B142" s="55"/>
      <c r="C142" s="55"/>
      <c r="D142" s="55"/>
      <c r="E142" s="55"/>
      <c r="F142" s="55"/>
      <c r="G142" s="55"/>
      <c r="H142" s="55"/>
      <c r="I142" s="55"/>
      <c r="J142" s="55"/>
      <c r="K142" s="55"/>
      <c r="L142" s="55"/>
      <c r="M142" s="55"/>
      <c r="N142" s="55"/>
      <c r="O142" s="55"/>
      <c r="P142" s="55"/>
      <c r="Q142" s="55"/>
      <c r="R142" s="55"/>
      <c r="S142" s="55"/>
      <c r="T142" s="55"/>
      <c r="U142" s="55"/>
      <c r="V142" s="55"/>
      <c r="W142" s="56"/>
    </row>
    <row r="143" spans="1:23">
      <c r="A143" s="55"/>
      <c r="B143" s="55"/>
      <c r="C143" s="55"/>
      <c r="D143" s="55"/>
      <c r="E143" s="55"/>
      <c r="F143" s="55"/>
      <c r="G143" s="55"/>
      <c r="H143" s="55"/>
      <c r="I143" s="55"/>
      <c r="J143" s="55"/>
      <c r="K143" s="55"/>
      <c r="L143" s="55"/>
      <c r="M143" s="55"/>
      <c r="N143" s="55"/>
      <c r="O143" s="55"/>
      <c r="P143" s="55"/>
      <c r="Q143" s="55"/>
      <c r="R143" s="55"/>
      <c r="S143" s="55"/>
      <c r="T143" s="55"/>
      <c r="U143" s="55"/>
      <c r="V143" s="55"/>
      <c r="W143" s="56"/>
    </row>
    <row r="144" spans="1:23">
      <c r="A144" s="55"/>
      <c r="B144" s="55"/>
      <c r="C144" s="55"/>
      <c r="D144" s="55"/>
      <c r="E144" s="55"/>
      <c r="F144" s="55"/>
      <c r="G144" s="55"/>
      <c r="H144" s="55"/>
      <c r="I144" s="55"/>
      <c r="J144" s="55"/>
      <c r="K144" s="55"/>
      <c r="L144" s="55"/>
      <c r="M144" s="55"/>
      <c r="N144" s="55"/>
      <c r="O144" s="55"/>
      <c r="P144" s="55"/>
      <c r="Q144" s="55"/>
      <c r="R144" s="55"/>
      <c r="S144" s="55"/>
      <c r="T144" s="55"/>
      <c r="U144" s="55"/>
      <c r="V144" s="55"/>
      <c r="W144" s="56"/>
    </row>
    <row r="145" spans="1:23">
      <c r="A145" s="55"/>
      <c r="B145" s="55"/>
      <c r="C145" s="55"/>
      <c r="D145" s="55"/>
      <c r="E145" s="55"/>
      <c r="F145" s="55"/>
      <c r="G145" s="55"/>
      <c r="H145" s="55"/>
      <c r="I145" s="55"/>
      <c r="J145" s="55"/>
      <c r="K145" s="55"/>
      <c r="L145" s="55"/>
      <c r="M145" s="55"/>
      <c r="N145" s="55"/>
      <c r="O145" s="55"/>
      <c r="P145" s="55"/>
      <c r="Q145" s="55"/>
      <c r="R145" s="55"/>
      <c r="S145" s="55"/>
      <c r="T145" s="55"/>
      <c r="U145" s="55"/>
      <c r="V145" s="55"/>
      <c r="W145" s="56"/>
    </row>
    <row r="146" spans="1:23">
      <c r="A146" s="55"/>
      <c r="B146" s="55"/>
      <c r="C146" s="55"/>
      <c r="D146" s="55"/>
      <c r="E146" s="55"/>
      <c r="F146" s="55"/>
      <c r="G146" s="55"/>
      <c r="H146" s="55"/>
      <c r="I146" s="55"/>
      <c r="J146" s="55"/>
      <c r="K146" s="55"/>
      <c r="L146" s="55"/>
      <c r="M146" s="55"/>
      <c r="N146" s="55"/>
      <c r="O146" s="55"/>
      <c r="P146" s="55"/>
      <c r="Q146" s="55"/>
      <c r="R146" s="55"/>
      <c r="S146" s="55"/>
      <c r="T146" s="55"/>
      <c r="U146" s="55"/>
      <c r="V146" s="55"/>
      <c r="W146" s="56"/>
    </row>
    <row r="147" spans="1:23">
      <c r="A147" s="55"/>
      <c r="B147" s="55"/>
      <c r="C147" s="55"/>
      <c r="D147" s="55"/>
      <c r="E147" s="55"/>
      <c r="F147" s="55"/>
      <c r="G147" s="55"/>
      <c r="H147" s="55"/>
      <c r="I147" s="55"/>
      <c r="J147" s="55"/>
      <c r="K147" s="55"/>
      <c r="L147" s="55"/>
      <c r="M147" s="55"/>
      <c r="N147" s="55"/>
      <c r="O147" s="55"/>
      <c r="P147" s="55"/>
      <c r="Q147" s="55"/>
      <c r="R147" s="55"/>
      <c r="S147" s="55"/>
      <c r="T147" s="55"/>
      <c r="U147" s="55"/>
      <c r="V147" s="55"/>
      <c r="W147" s="56"/>
    </row>
    <row r="148" spans="1:23">
      <c r="A148" s="55"/>
      <c r="B148" s="55"/>
      <c r="C148" s="55"/>
      <c r="D148" s="55"/>
      <c r="E148" s="55"/>
      <c r="F148" s="55"/>
      <c r="G148" s="55"/>
      <c r="H148" s="55"/>
      <c r="I148" s="55"/>
      <c r="J148" s="55"/>
      <c r="K148" s="55"/>
      <c r="L148" s="55"/>
      <c r="M148" s="55"/>
      <c r="N148" s="55"/>
      <c r="O148" s="55"/>
      <c r="P148" s="55"/>
      <c r="Q148" s="55"/>
      <c r="R148" s="55"/>
      <c r="S148" s="55"/>
      <c r="T148" s="55"/>
      <c r="U148" s="55"/>
      <c r="V148" s="55"/>
      <c r="W148" s="56"/>
    </row>
    <row r="149" spans="1:23">
      <c r="A149" s="55"/>
      <c r="B149" s="55"/>
      <c r="C149" s="55"/>
      <c r="D149" s="55"/>
      <c r="E149" s="55"/>
      <c r="F149" s="55"/>
      <c r="G149" s="55"/>
      <c r="H149" s="55"/>
      <c r="I149" s="55"/>
      <c r="J149" s="55"/>
      <c r="K149" s="55"/>
      <c r="L149" s="55"/>
      <c r="M149" s="55"/>
      <c r="N149" s="55"/>
      <c r="O149" s="55"/>
      <c r="P149" s="55"/>
      <c r="Q149" s="55"/>
      <c r="R149" s="55"/>
      <c r="S149" s="55"/>
      <c r="T149" s="55"/>
      <c r="U149" s="55"/>
      <c r="V149" s="55"/>
      <c r="W149" s="56"/>
    </row>
    <row r="150" spans="1:23">
      <c r="A150" s="55"/>
      <c r="B150" s="55"/>
      <c r="C150" s="55"/>
      <c r="D150" s="55"/>
      <c r="E150" s="55"/>
      <c r="F150" s="55"/>
      <c r="G150" s="55"/>
      <c r="H150" s="55"/>
      <c r="I150" s="55"/>
      <c r="J150" s="55"/>
      <c r="K150" s="55"/>
      <c r="L150" s="55"/>
      <c r="M150" s="55"/>
      <c r="N150" s="55"/>
      <c r="O150" s="55"/>
      <c r="P150" s="55"/>
      <c r="Q150" s="55"/>
      <c r="R150" s="55"/>
      <c r="S150" s="55"/>
      <c r="T150" s="55"/>
      <c r="U150" s="55"/>
      <c r="V150" s="55"/>
      <c r="W150" s="56"/>
    </row>
    <row r="151" spans="1:23">
      <c r="A151" s="55"/>
      <c r="B151" s="55"/>
      <c r="C151" s="55"/>
      <c r="D151" s="55"/>
      <c r="E151" s="55"/>
      <c r="F151" s="55"/>
      <c r="G151" s="55"/>
      <c r="H151" s="55"/>
      <c r="I151" s="55"/>
      <c r="J151" s="55"/>
      <c r="K151" s="55"/>
      <c r="L151" s="55"/>
      <c r="M151" s="55"/>
      <c r="N151" s="55"/>
      <c r="O151" s="55"/>
      <c r="P151" s="55"/>
      <c r="Q151" s="55"/>
      <c r="R151" s="55"/>
      <c r="S151" s="55"/>
      <c r="T151" s="55"/>
      <c r="U151" s="55"/>
      <c r="V151" s="55"/>
      <c r="W151" s="56"/>
    </row>
    <row r="152" spans="1:23">
      <c r="A152" s="55"/>
      <c r="B152" s="55"/>
      <c r="C152" s="55"/>
      <c r="D152" s="55"/>
      <c r="E152" s="55"/>
      <c r="F152" s="55"/>
      <c r="G152" s="55"/>
      <c r="H152" s="55"/>
      <c r="I152" s="55"/>
      <c r="J152" s="55"/>
      <c r="K152" s="55"/>
      <c r="L152" s="55"/>
      <c r="M152" s="55"/>
      <c r="N152" s="55"/>
      <c r="O152" s="55"/>
      <c r="P152" s="55"/>
      <c r="Q152" s="55"/>
      <c r="R152" s="55"/>
      <c r="S152" s="55"/>
      <c r="T152" s="55"/>
      <c r="U152" s="55"/>
      <c r="V152" s="55"/>
      <c r="W152" s="56"/>
    </row>
    <row r="153" spans="1:23">
      <c r="A153" s="55"/>
      <c r="B153" s="55"/>
      <c r="C153" s="55"/>
      <c r="D153" s="55"/>
      <c r="E153" s="55"/>
      <c r="F153" s="55"/>
      <c r="G153" s="55"/>
      <c r="H153" s="55"/>
      <c r="I153" s="55"/>
      <c r="J153" s="55"/>
      <c r="K153" s="55"/>
      <c r="L153" s="55"/>
      <c r="M153" s="55"/>
      <c r="N153" s="55"/>
      <c r="O153" s="55"/>
      <c r="P153" s="55"/>
      <c r="Q153" s="55"/>
      <c r="R153" s="55"/>
      <c r="S153" s="55"/>
      <c r="T153" s="55"/>
      <c r="U153" s="55"/>
      <c r="V153" s="55"/>
      <c r="W153" s="56"/>
    </row>
    <row r="154" spans="1:23">
      <c r="A154" s="55"/>
      <c r="B154" s="55"/>
      <c r="C154" s="55"/>
      <c r="D154" s="55"/>
      <c r="E154" s="55"/>
      <c r="F154" s="55"/>
      <c r="G154" s="55"/>
      <c r="H154" s="55"/>
      <c r="I154" s="55"/>
      <c r="J154" s="55"/>
      <c r="K154" s="55"/>
      <c r="L154" s="55"/>
      <c r="M154" s="55"/>
      <c r="N154" s="55"/>
      <c r="O154" s="55"/>
      <c r="P154" s="55"/>
      <c r="Q154" s="55"/>
      <c r="R154" s="55"/>
      <c r="S154" s="55"/>
      <c r="T154" s="55"/>
      <c r="U154" s="55"/>
      <c r="V154" s="55"/>
      <c r="W154" s="56"/>
    </row>
    <row r="155" spans="1:23">
      <c r="A155" s="55"/>
      <c r="B155" s="55"/>
      <c r="C155" s="55"/>
      <c r="D155" s="55"/>
      <c r="E155" s="55"/>
      <c r="F155" s="55"/>
      <c r="G155" s="55"/>
      <c r="H155" s="55"/>
      <c r="I155" s="55"/>
      <c r="J155" s="55"/>
      <c r="K155" s="55"/>
      <c r="L155" s="55"/>
      <c r="M155" s="55"/>
      <c r="N155" s="55"/>
      <c r="O155" s="55"/>
      <c r="P155" s="55"/>
      <c r="Q155" s="55"/>
      <c r="R155" s="55"/>
      <c r="S155" s="55"/>
      <c r="T155" s="55"/>
      <c r="U155" s="55"/>
      <c r="V155" s="55"/>
      <c r="W155" s="56"/>
    </row>
    <row r="156" spans="1:23">
      <c r="A156" s="55"/>
      <c r="B156" s="55"/>
      <c r="C156" s="55"/>
      <c r="D156" s="55"/>
      <c r="E156" s="55"/>
      <c r="F156" s="55"/>
      <c r="G156" s="55"/>
      <c r="H156" s="55"/>
      <c r="I156" s="55"/>
      <c r="J156" s="55"/>
      <c r="K156" s="55"/>
      <c r="L156" s="55"/>
      <c r="M156" s="55"/>
      <c r="N156" s="55"/>
      <c r="O156" s="55"/>
      <c r="P156" s="55"/>
      <c r="Q156" s="55"/>
      <c r="R156" s="55"/>
      <c r="S156" s="55"/>
      <c r="T156" s="55"/>
      <c r="U156" s="55"/>
      <c r="V156" s="55"/>
      <c r="W156" s="56"/>
    </row>
    <row r="157" spans="1:23">
      <c r="A157" s="55"/>
      <c r="B157" s="56"/>
      <c r="C157" s="56"/>
      <c r="D157" s="56"/>
      <c r="E157" s="56"/>
      <c r="F157" s="56"/>
      <c r="G157" s="56"/>
      <c r="H157" s="56"/>
      <c r="I157" s="56"/>
      <c r="J157" s="56"/>
      <c r="K157" s="56"/>
      <c r="L157" s="56"/>
      <c r="M157" s="55"/>
      <c r="N157" s="55"/>
      <c r="O157" s="55"/>
      <c r="P157" s="55"/>
      <c r="Q157" s="55"/>
      <c r="R157" s="55"/>
      <c r="S157" s="55"/>
      <c r="T157" s="55"/>
      <c r="U157" s="55"/>
      <c r="V157" s="55"/>
      <c r="W157" s="56"/>
    </row>
    <row r="158" spans="1:23">
      <c r="A158" s="55"/>
      <c r="B158" s="56"/>
      <c r="C158" s="56"/>
      <c r="D158" s="56"/>
      <c r="E158" s="56"/>
      <c r="F158" s="56"/>
      <c r="G158" s="56"/>
      <c r="H158" s="56"/>
      <c r="I158" s="56"/>
      <c r="J158" s="56"/>
      <c r="K158" s="56"/>
      <c r="L158" s="56"/>
      <c r="M158" s="55"/>
      <c r="N158" s="55"/>
      <c r="O158" s="55"/>
      <c r="P158" s="55"/>
      <c r="Q158" s="55"/>
      <c r="R158" s="55"/>
      <c r="S158" s="55"/>
      <c r="T158" s="55"/>
      <c r="U158" s="55"/>
      <c r="V158" s="55"/>
      <c r="W158" s="56"/>
    </row>
    <row r="159" spans="1:23">
      <c r="A159" s="55"/>
      <c r="B159" s="56"/>
      <c r="C159" s="56"/>
      <c r="D159" s="56"/>
      <c r="E159" s="56"/>
      <c r="F159" s="56"/>
      <c r="G159" s="56"/>
      <c r="H159" s="56"/>
      <c r="I159" s="56"/>
      <c r="J159" s="56"/>
      <c r="K159" s="56"/>
      <c r="L159" s="56"/>
      <c r="M159" s="55"/>
      <c r="N159" s="55"/>
      <c r="O159" s="55"/>
      <c r="P159" s="55"/>
      <c r="Q159" s="55"/>
      <c r="R159" s="55"/>
      <c r="S159" s="55"/>
      <c r="T159" s="55"/>
      <c r="U159" s="55"/>
      <c r="V159" s="55"/>
      <c r="W159" s="56"/>
    </row>
    <row r="160" spans="1:23">
      <c r="A160" s="55"/>
      <c r="B160" s="56"/>
      <c r="C160" s="56"/>
      <c r="D160" s="56"/>
      <c r="E160" s="56"/>
      <c r="F160" s="56"/>
      <c r="G160" s="56"/>
      <c r="H160" s="56"/>
      <c r="I160" s="56"/>
      <c r="J160" s="56"/>
      <c r="K160" s="56"/>
      <c r="L160" s="56"/>
      <c r="M160" s="55"/>
      <c r="N160" s="55"/>
      <c r="O160" s="55"/>
      <c r="P160" s="55"/>
      <c r="Q160" s="55"/>
      <c r="R160" s="55"/>
      <c r="S160" s="55"/>
      <c r="T160" s="55"/>
      <c r="U160" s="55"/>
      <c r="V160" s="55"/>
      <c r="W160" s="56"/>
    </row>
    <row r="161" spans="1:23">
      <c r="A161" s="56"/>
      <c r="B161" s="56"/>
      <c r="C161" s="56"/>
      <c r="D161" s="56"/>
      <c r="E161" s="56"/>
      <c r="F161" s="56"/>
      <c r="G161" s="56"/>
      <c r="H161" s="56"/>
      <c r="I161" s="56"/>
      <c r="J161" s="56"/>
      <c r="K161" s="56"/>
      <c r="L161" s="56"/>
      <c r="M161" s="55"/>
      <c r="N161" s="55"/>
      <c r="O161" s="55"/>
      <c r="P161" s="55"/>
      <c r="Q161" s="55"/>
      <c r="R161" s="55"/>
      <c r="S161" s="55"/>
      <c r="T161" s="55"/>
      <c r="U161" s="55"/>
      <c r="V161" s="55"/>
      <c r="W161" s="56"/>
    </row>
  </sheetData>
  <mergeCells count="5">
    <mergeCell ref="B1:L1"/>
    <mergeCell ref="B2:L2"/>
    <mergeCell ref="B8:L8"/>
    <mergeCell ref="B13:L13"/>
    <mergeCell ref="C24:G24"/>
  </mergeCells>
  <hyperlinks>
    <hyperlink ref="I16" r:id="rId1" xr:uid="{3182E993-F5DE-994E-9A07-69FE6082AAD5}"/>
    <hyperlink ref="I18" r:id="rId2" xr:uid="{DF653E74-3F6C-AB44-9304-9F40E7E43119}"/>
    <hyperlink ref="I20" r:id="rId3" xr:uid="{3F47E1C5-83C1-874B-8B96-ED9947C83013}"/>
    <hyperlink ref="I15" r:id="rId4" xr:uid="{5B4ECF3B-5A26-4D4C-8337-B29AE973D9FB}"/>
    <hyperlink ref="I10" r:id="rId5" xr:uid="{09454B6E-2290-5B49-8B04-FF3A95851AAA}"/>
    <hyperlink ref="I11" r:id="rId6" xr:uid="{0EBC6EF2-3C5A-2845-AE6B-7BA2DAD5A73C}"/>
    <hyperlink ref="I4" r:id="rId7" xr:uid="{337847A1-F832-1343-A40A-57F2E88EA283}"/>
  </hyperlinks>
  <pageMargins left="0.15748031496062992" right="0.15748031496062992" top="0.27559055118110237" bottom="0.15748031496062992" header="0.31496062992125984" footer="0.31496062992125984"/>
  <pageSetup paperSize="9" scale="55" orientation="portrait" r:id="rId8"/>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8FD71-9248-4E45-8C56-848887E2F10F}">
  <sheetPr>
    <tabColor rgb="FF2FF12F"/>
  </sheetPr>
  <dimension ref="A1:W167"/>
  <sheetViews>
    <sheetView rightToLeft="1" zoomScale="75" zoomScaleNormal="70" workbookViewId="0"/>
  </sheetViews>
  <sheetFormatPr defaultColWidth="8.796875" defaultRowHeight="13.8"/>
  <cols>
    <col min="2" max="2" width="11.796875" customWidth="1"/>
    <col min="3" max="3" width="29" customWidth="1"/>
    <col min="4" max="4" width="18.5" customWidth="1"/>
    <col min="5" max="5" width="15.69921875" customWidth="1"/>
    <col min="6" max="6" width="22" customWidth="1"/>
    <col min="7" max="8" width="19" customWidth="1"/>
    <col min="9" max="9" width="59" customWidth="1"/>
    <col min="10" max="10" width="11.796875" customWidth="1"/>
    <col min="11" max="11" width="26.69921875" customWidth="1"/>
    <col min="12" max="12" width="15.19921875" customWidth="1"/>
  </cols>
  <sheetData>
    <row r="1" spans="1:23" ht="39" customHeight="1" thickBot="1">
      <c r="B1" s="628" t="s">
        <v>34</v>
      </c>
      <c r="C1" s="628"/>
      <c r="D1" s="628"/>
      <c r="E1" s="628"/>
      <c r="F1" s="628"/>
      <c r="G1" s="628"/>
      <c r="H1" s="628"/>
      <c r="I1" s="628"/>
      <c r="J1" s="628"/>
      <c r="K1" s="628"/>
      <c r="L1" s="629"/>
    </row>
    <row r="2" spans="1:23" ht="30.75" customHeight="1" thickBot="1">
      <c r="A2" s="58"/>
      <c r="B2" s="628" t="s">
        <v>197</v>
      </c>
      <c r="C2" s="628"/>
      <c r="D2" s="628"/>
      <c r="E2" s="628"/>
      <c r="F2" s="628"/>
      <c r="G2" s="628"/>
      <c r="H2" s="628"/>
      <c r="I2" s="628"/>
      <c r="J2" s="628"/>
      <c r="K2" s="628"/>
      <c r="L2" s="629"/>
      <c r="M2" s="52"/>
      <c r="N2" s="57"/>
      <c r="O2" s="55"/>
      <c r="P2" s="55"/>
      <c r="Q2" s="55"/>
      <c r="R2" s="55"/>
      <c r="S2" s="55"/>
      <c r="T2" s="55"/>
      <c r="U2" s="55"/>
      <c r="V2" s="55"/>
      <c r="W2" s="56"/>
    </row>
    <row r="3" spans="1:23" ht="30.75" customHeight="1">
      <c r="A3" s="55"/>
      <c r="B3" s="44" t="s">
        <v>93</v>
      </c>
      <c r="C3" s="43" t="s">
        <v>185</v>
      </c>
      <c r="D3" s="43" t="s">
        <v>171</v>
      </c>
      <c r="E3" s="43" t="s">
        <v>152</v>
      </c>
      <c r="F3" s="43" t="s">
        <v>48</v>
      </c>
      <c r="G3" s="43" t="s">
        <v>49</v>
      </c>
      <c r="H3" s="43" t="s">
        <v>169</v>
      </c>
      <c r="I3" s="43" t="s">
        <v>170</v>
      </c>
      <c r="J3" s="43" t="s">
        <v>50</v>
      </c>
      <c r="K3" s="43" t="s">
        <v>51</v>
      </c>
      <c r="L3" s="42" t="s">
        <v>26</v>
      </c>
      <c r="M3" s="52"/>
      <c r="N3" s="57"/>
      <c r="O3" s="55"/>
      <c r="P3" s="55"/>
      <c r="Q3" s="55"/>
      <c r="R3" s="55"/>
      <c r="S3" s="55"/>
      <c r="T3" s="55"/>
      <c r="U3" s="55"/>
      <c r="V3" s="55"/>
      <c r="W3" s="56"/>
    </row>
    <row r="4" spans="1:23" ht="30.75" customHeight="1" thickBot="1">
      <c r="A4" s="55"/>
      <c r="B4" s="158">
        <v>0</v>
      </c>
      <c r="C4" s="146">
        <v>0</v>
      </c>
      <c r="D4" s="146">
        <v>0</v>
      </c>
      <c r="E4" s="146">
        <v>0</v>
      </c>
      <c r="F4" s="146">
        <v>0</v>
      </c>
      <c r="G4" s="146">
        <v>0</v>
      </c>
      <c r="H4" s="146">
        <v>0</v>
      </c>
      <c r="I4" s="146">
        <v>0</v>
      </c>
      <c r="J4" s="146">
        <v>0</v>
      </c>
      <c r="K4" s="146">
        <v>0</v>
      </c>
      <c r="L4" s="146">
        <v>0</v>
      </c>
      <c r="M4" s="57"/>
      <c r="N4" s="57"/>
      <c r="O4" s="55"/>
      <c r="P4" s="55"/>
      <c r="Q4" s="55"/>
      <c r="R4" s="55"/>
      <c r="S4" s="55"/>
      <c r="T4" s="55"/>
      <c r="U4" s="55"/>
      <c r="V4" s="55"/>
      <c r="W4" s="56"/>
    </row>
    <row r="5" spans="1:23" ht="30.75" customHeight="1" thickBot="1">
      <c r="A5" s="55"/>
      <c r="B5" s="628" t="s">
        <v>198</v>
      </c>
      <c r="C5" s="628"/>
      <c r="D5" s="628"/>
      <c r="E5" s="628"/>
      <c r="F5" s="628"/>
      <c r="G5" s="628"/>
      <c r="H5" s="628"/>
      <c r="I5" s="628"/>
      <c r="J5" s="628"/>
      <c r="K5" s="628"/>
      <c r="L5" s="629"/>
      <c r="M5" s="52"/>
      <c r="N5" s="57"/>
      <c r="O5" s="55"/>
      <c r="P5" s="55"/>
      <c r="Q5" s="55"/>
      <c r="R5" s="55"/>
      <c r="S5" s="55"/>
      <c r="T5" s="55"/>
      <c r="U5" s="55"/>
      <c r="V5" s="55"/>
      <c r="W5" s="56"/>
    </row>
    <row r="6" spans="1:23" ht="30.75" customHeight="1">
      <c r="A6" s="55"/>
      <c r="B6" s="44" t="s">
        <v>428</v>
      </c>
      <c r="C6" s="43" t="s">
        <v>185</v>
      </c>
      <c r="D6" s="43" t="s">
        <v>171</v>
      </c>
      <c r="E6" s="43" t="s">
        <v>152</v>
      </c>
      <c r="F6" s="43" t="s">
        <v>48</v>
      </c>
      <c r="G6" s="43" t="s">
        <v>49</v>
      </c>
      <c r="H6" s="43" t="s">
        <v>169</v>
      </c>
      <c r="I6" s="43" t="s">
        <v>170</v>
      </c>
      <c r="J6" s="43" t="s">
        <v>50</v>
      </c>
      <c r="K6" s="43" t="s">
        <v>51</v>
      </c>
      <c r="L6" s="42" t="s">
        <v>1309</v>
      </c>
      <c r="M6" s="52"/>
      <c r="N6" s="57"/>
      <c r="O6" s="55"/>
      <c r="P6" s="55"/>
      <c r="Q6" s="55"/>
      <c r="R6" s="55"/>
      <c r="S6" s="55"/>
      <c r="T6" s="55"/>
      <c r="U6" s="55"/>
      <c r="V6" s="55"/>
      <c r="W6" s="56"/>
    </row>
    <row r="7" spans="1:23" ht="30.75" customHeight="1">
      <c r="A7" s="55"/>
      <c r="B7" s="146">
        <v>215</v>
      </c>
      <c r="C7" s="420" t="s">
        <v>1767</v>
      </c>
      <c r="D7" s="146" t="s">
        <v>386</v>
      </c>
      <c r="E7" s="146" t="s">
        <v>4</v>
      </c>
      <c r="F7" s="146"/>
      <c r="G7" s="146" t="s">
        <v>226</v>
      </c>
      <c r="H7" s="146"/>
      <c r="I7" s="146"/>
      <c r="J7" s="146"/>
      <c r="K7" s="146"/>
      <c r="L7" s="48"/>
      <c r="M7" s="52"/>
      <c r="N7" s="57"/>
      <c r="O7" s="55"/>
      <c r="P7" s="55"/>
      <c r="Q7" s="55"/>
      <c r="R7" s="55"/>
      <c r="S7" s="55"/>
      <c r="T7" s="55"/>
      <c r="U7" s="55"/>
      <c r="V7" s="55"/>
      <c r="W7" s="56"/>
    </row>
    <row r="8" spans="1:23" ht="30.75" customHeight="1">
      <c r="A8" s="55"/>
      <c r="B8" s="146">
        <v>2461</v>
      </c>
      <c r="C8" s="146" t="s">
        <v>429</v>
      </c>
      <c r="D8" s="146" t="s">
        <v>430</v>
      </c>
      <c r="E8" s="146" t="s">
        <v>4</v>
      </c>
      <c r="F8" s="146">
        <v>1094668694</v>
      </c>
      <c r="G8" s="146" t="s">
        <v>226</v>
      </c>
      <c r="H8" s="146">
        <v>558535905</v>
      </c>
      <c r="I8" s="146" t="s">
        <v>431</v>
      </c>
      <c r="J8" s="146" t="s">
        <v>63</v>
      </c>
      <c r="K8" s="146" t="s">
        <v>432</v>
      </c>
      <c r="L8" s="48">
        <v>0</v>
      </c>
      <c r="M8" s="52"/>
      <c r="N8" s="57"/>
      <c r="O8" s="55"/>
      <c r="P8" s="55"/>
      <c r="Q8" s="55"/>
      <c r="R8" s="55"/>
      <c r="S8" s="55"/>
      <c r="T8" s="55"/>
      <c r="U8" s="55"/>
      <c r="V8" s="55"/>
      <c r="W8" s="56"/>
    </row>
    <row r="9" spans="1:23" ht="30.75" customHeight="1">
      <c r="A9" s="55"/>
      <c r="B9" s="146"/>
      <c r="C9" s="146"/>
      <c r="D9" s="47"/>
      <c r="E9" s="47"/>
      <c r="F9" s="48"/>
      <c r="G9" s="47"/>
      <c r="H9" s="48"/>
      <c r="I9" s="45"/>
      <c r="J9" s="49"/>
      <c r="K9" s="49"/>
      <c r="L9" s="48"/>
      <c r="M9" s="52"/>
      <c r="N9" s="57"/>
      <c r="O9" s="55"/>
      <c r="P9" s="55"/>
      <c r="Q9" s="55"/>
      <c r="R9" s="55"/>
      <c r="S9" s="55"/>
      <c r="T9" s="55"/>
      <c r="U9" s="55"/>
      <c r="V9" s="55"/>
      <c r="W9" s="56"/>
    </row>
    <row r="10" spans="1:23" ht="30.75" customHeight="1" thickBot="1">
      <c r="A10" s="55"/>
      <c r="B10" s="158"/>
      <c r="C10" s="179"/>
      <c r="D10" s="47"/>
      <c r="E10" s="47"/>
      <c r="F10" s="48"/>
      <c r="G10" s="47"/>
      <c r="H10" s="48"/>
      <c r="I10" s="45"/>
      <c r="J10" s="49"/>
      <c r="K10" s="49"/>
      <c r="L10" s="48"/>
      <c r="M10" s="52"/>
      <c r="N10" s="57"/>
      <c r="O10" s="55"/>
      <c r="P10" s="55"/>
      <c r="Q10" s="55"/>
      <c r="R10" s="55"/>
      <c r="S10" s="55"/>
      <c r="T10" s="55"/>
      <c r="U10" s="55"/>
      <c r="V10" s="55"/>
      <c r="W10" s="56"/>
    </row>
    <row r="11" spans="1:23" ht="30.75" customHeight="1" thickBot="1">
      <c r="A11" s="55"/>
      <c r="B11" s="628" t="s">
        <v>199</v>
      </c>
      <c r="C11" s="628"/>
      <c r="D11" s="628"/>
      <c r="E11" s="628"/>
      <c r="F11" s="628"/>
      <c r="G11" s="628"/>
      <c r="H11" s="628"/>
      <c r="I11" s="628"/>
      <c r="J11" s="628"/>
      <c r="K11" s="628"/>
      <c r="L11" s="629"/>
      <c r="M11" s="52"/>
      <c r="N11" s="57"/>
      <c r="O11" s="55"/>
      <c r="P11" s="55"/>
      <c r="Q11" s="55"/>
      <c r="R11" s="55"/>
      <c r="S11" s="55"/>
      <c r="T11" s="55"/>
      <c r="U11" s="55"/>
      <c r="V11" s="55"/>
      <c r="W11" s="56"/>
    </row>
    <row r="12" spans="1:23" ht="30.75" customHeight="1">
      <c r="A12" s="55"/>
      <c r="B12" s="44" t="s">
        <v>428</v>
      </c>
      <c r="C12" s="43" t="s">
        <v>185</v>
      </c>
      <c r="D12" s="43" t="s">
        <v>171</v>
      </c>
      <c r="E12" s="43" t="s">
        <v>152</v>
      </c>
      <c r="F12" s="43" t="s">
        <v>48</v>
      </c>
      <c r="G12" s="43" t="s">
        <v>49</v>
      </c>
      <c r="H12" s="43" t="s">
        <v>169</v>
      </c>
      <c r="I12" s="43" t="s">
        <v>170</v>
      </c>
      <c r="J12" s="43" t="s">
        <v>50</v>
      </c>
      <c r="K12" s="43" t="s">
        <v>51</v>
      </c>
      <c r="L12" s="42" t="s">
        <v>1309</v>
      </c>
      <c r="M12" s="52"/>
      <c r="N12" s="57"/>
      <c r="O12" s="55"/>
      <c r="P12" s="55"/>
      <c r="Q12" s="55"/>
      <c r="R12" s="55"/>
      <c r="S12" s="55"/>
      <c r="T12" s="55"/>
      <c r="U12" s="55"/>
      <c r="V12" s="55"/>
      <c r="W12" s="56"/>
    </row>
    <row r="13" spans="1:23" ht="30.75" customHeight="1">
      <c r="A13" s="55"/>
      <c r="B13" s="146">
        <v>192</v>
      </c>
      <c r="C13" s="146" t="s">
        <v>433</v>
      </c>
      <c r="D13" s="146" t="s">
        <v>128</v>
      </c>
      <c r="E13" s="146" t="s">
        <v>29</v>
      </c>
      <c r="F13" s="146">
        <v>1082129105</v>
      </c>
      <c r="G13" s="146" t="s">
        <v>226</v>
      </c>
      <c r="H13" s="146">
        <v>539121234</v>
      </c>
      <c r="I13" s="146" t="s">
        <v>434</v>
      </c>
      <c r="J13" s="146" t="s">
        <v>187</v>
      </c>
      <c r="K13" s="146" t="s">
        <v>77</v>
      </c>
      <c r="L13" s="48">
        <v>0</v>
      </c>
      <c r="M13" s="55"/>
      <c r="N13" s="55"/>
      <c r="O13" s="55"/>
      <c r="P13" s="55"/>
      <c r="Q13" s="55"/>
      <c r="R13" s="55"/>
      <c r="S13" s="55"/>
      <c r="T13" s="55"/>
      <c r="U13" s="55"/>
      <c r="V13" s="55"/>
      <c r="W13" s="56"/>
    </row>
    <row r="14" spans="1:23" ht="30.75" customHeight="1">
      <c r="A14" s="55"/>
      <c r="B14" s="146">
        <v>1794</v>
      </c>
      <c r="C14" s="146" t="s">
        <v>435</v>
      </c>
      <c r="D14" s="146" t="s">
        <v>155</v>
      </c>
      <c r="E14" s="146" t="s">
        <v>29</v>
      </c>
      <c r="F14" s="146">
        <v>1062623994</v>
      </c>
      <c r="G14" s="146" t="s">
        <v>226</v>
      </c>
      <c r="H14" s="146">
        <v>509330086</v>
      </c>
      <c r="I14" s="223" t="s">
        <v>436</v>
      </c>
      <c r="J14" s="146" t="s">
        <v>187</v>
      </c>
      <c r="K14" s="146" t="s">
        <v>437</v>
      </c>
      <c r="L14" s="48">
        <v>1</v>
      </c>
      <c r="M14" s="55"/>
      <c r="N14" s="55"/>
      <c r="O14" s="55"/>
      <c r="P14" s="55"/>
      <c r="Q14" s="55"/>
      <c r="R14" s="55"/>
      <c r="S14" s="55"/>
      <c r="T14" s="55"/>
      <c r="U14" s="55"/>
      <c r="V14" s="55"/>
      <c r="W14" s="56"/>
    </row>
    <row r="15" spans="1:23" ht="30.75" customHeight="1">
      <c r="A15" s="55"/>
      <c r="B15" s="158"/>
      <c r="C15" s="48"/>
      <c r="D15" s="48"/>
      <c r="E15" s="48"/>
      <c r="F15" s="48"/>
      <c r="G15" s="48"/>
      <c r="H15" s="48"/>
      <c r="I15" s="48"/>
      <c r="J15" s="48"/>
      <c r="K15" s="48"/>
      <c r="L15" s="48"/>
      <c r="M15" s="55"/>
      <c r="N15" s="55"/>
      <c r="O15" s="55"/>
      <c r="P15" s="55"/>
      <c r="Q15" s="55"/>
      <c r="R15" s="55"/>
      <c r="S15" s="55"/>
      <c r="T15" s="55"/>
      <c r="U15" s="55"/>
      <c r="V15" s="55"/>
      <c r="W15" s="56"/>
    </row>
    <row r="16" spans="1:23" ht="30.75" customHeight="1">
      <c r="A16" s="55"/>
      <c r="B16" s="158"/>
      <c r="C16" s="179"/>
      <c r="D16" s="47"/>
      <c r="E16" s="47"/>
      <c r="F16" s="48"/>
      <c r="G16" s="47"/>
      <c r="H16" s="48"/>
      <c r="I16" s="45"/>
      <c r="J16" s="49"/>
      <c r="K16" s="49"/>
      <c r="L16" s="178"/>
      <c r="M16" s="55"/>
      <c r="N16" s="55"/>
      <c r="O16" s="55"/>
      <c r="P16" s="55"/>
      <c r="Q16" s="55"/>
      <c r="R16" s="55"/>
      <c r="S16" s="55"/>
      <c r="T16" s="55"/>
      <c r="U16" s="55"/>
      <c r="V16" s="55"/>
      <c r="W16" s="56"/>
    </row>
    <row r="17" spans="1:23" ht="30.75" customHeight="1" thickBot="1">
      <c r="A17" s="55"/>
      <c r="B17" s="158"/>
      <c r="C17" s="179"/>
      <c r="D17" s="47"/>
      <c r="E17" s="47"/>
      <c r="F17" s="48"/>
      <c r="G17" s="47"/>
      <c r="H17" s="48"/>
      <c r="I17" s="45"/>
      <c r="J17" s="49"/>
      <c r="K17" s="49"/>
      <c r="L17" s="178"/>
      <c r="M17" s="55"/>
      <c r="N17" s="55"/>
      <c r="O17" s="55"/>
      <c r="P17" s="55"/>
      <c r="Q17" s="55"/>
      <c r="R17" s="55"/>
      <c r="S17" s="55"/>
      <c r="T17" s="55"/>
      <c r="U17" s="55"/>
      <c r="V17" s="55"/>
      <c r="W17" s="56"/>
    </row>
    <row r="18" spans="1:23" ht="30.75" customHeight="1" thickBot="1">
      <c r="A18" s="55"/>
      <c r="B18" s="628" t="s">
        <v>196</v>
      </c>
      <c r="C18" s="628"/>
      <c r="D18" s="628"/>
      <c r="E18" s="628"/>
      <c r="F18" s="628"/>
      <c r="G18" s="628"/>
      <c r="H18" s="628"/>
      <c r="I18" s="628"/>
      <c r="J18" s="628"/>
      <c r="K18" s="628"/>
      <c r="L18" s="629"/>
      <c r="M18" s="55"/>
      <c r="N18" s="55"/>
      <c r="O18" s="55"/>
      <c r="P18" s="55"/>
      <c r="Q18" s="55"/>
      <c r="R18" s="55"/>
      <c r="S18" s="55"/>
      <c r="T18" s="55"/>
      <c r="U18" s="55"/>
      <c r="V18" s="55"/>
      <c r="W18" s="56"/>
    </row>
    <row r="19" spans="1:23" ht="30.75" customHeight="1">
      <c r="A19" s="55"/>
      <c r="B19" s="44" t="s">
        <v>428</v>
      </c>
      <c r="C19" s="43" t="s">
        <v>185</v>
      </c>
      <c r="D19" s="43" t="s">
        <v>171</v>
      </c>
      <c r="E19" s="43" t="s">
        <v>152</v>
      </c>
      <c r="F19" s="43" t="s">
        <v>48</v>
      </c>
      <c r="G19" s="43" t="s">
        <v>49</v>
      </c>
      <c r="H19" s="43" t="s">
        <v>169</v>
      </c>
      <c r="I19" s="43" t="s">
        <v>170</v>
      </c>
      <c r="J19" s="43" t="s">
        <v>50</v>
      </c>
      <c r="K19" s="43" t="s">
        <v>51</v>
      </c>
      <c r="L19" s="42" t="s">
        <v>1309</v>
      </c>
      <c r="M19" s="55"/>
      <c r="N19" s="55"/>
      <c r="O19" s="55"/>
      <c r="P19" s="55"/>
      <c r="Q19" s="55"/>
      <c r="R19" s="55"/>
      <c r="S19" s="55"/>
      <c r="T19" s="55"/>
      <c r="U19" s="55"/>
      <c r="V19" s="55"/>
      <c r="W19" s="56"/>
    </row>
    <row r="20" spans="1:23" ht="30.75" customHeight="1">
      <c r="A20" s="55"/>
      <c r="B20" s="146">
        <v>208</v>
      </c>
      <c r="C20" s="146" t="s">
        <v>438</v>
      </c>
      <c r="D20" s="146" t="s">
        <v>439</v>
      </c>
      <c r="E20" s="146" t="s">
        <v>30</v>
      </c>
      <c r="F20" s="146">
        <v>1000674232</v>
      </c>
      <c r="G20" s="146" t="s">
        <v>226</v>
      </c>
      <c r="H20" s="146">
        <v>544613987</v>
      </c>
      <c r="I20" s="146" t="s">
        <v>440</v>
      </c>
      <c r="J20" s="146" t="s">
        <v>63</v>
      </c>
      <c r="K20" s="146" t="s">
        <v>53</v>
      </c>
      <c r="L20" s="48">
        <v>1</v>
      </c>
      <c r="M20" s="55"/>
      <c r="N20" s="55"/>
      <c r="O20" s="55"/>
      <c r="P20" s="55"/>
      <c r="Q20" s="55"/>
      <c r="R20" s="55"/>
      <c r="S20" s="55"/>
      <c r="T20" s="55"/>
      <c r="U20" s="55"/>
      <c r="V20" s="55"/>
      <c r="W20" s="56"/>
    </row>
    <row r="21" spans="1:23" ht="30.75" customHeight="1">
      <c r="A21" s="55"/>
      <c r="B21" s="146">
        <v>177</v>
      </c>
      <c r="C21" s="146" t="s">
        <v>441</v>
      </c>
      <c r="D21" s="146" t="s">
        <v>386</v>
      </c>
      <c r="E21" s="146" t="s">
        <v>30</v>
      </c>
      <c r="F21" s="146">
        <v>1096143985</v>
      </c>
      <c r="G21" s="146" t="s">
        <v>226</v>
      </c>
      <c r="H21" s="146">
        <v>535310618</v>
      </c>
      <c r="I21" s="146" t="s">
        <v>442</v>
      </c>
      <c r="J21" s="146" t="s">
        <v>63</v>
      </c>
      <c r="K21" s="146" t="s">
        <v>53</v>
      </c>
      <c r="L21" s="48">
        <v>1</v>
      </c>
      <c r="M21" s="55"/>
      <c r="N21" s="55"/>
      <c r="O21" s="55"/>
      <c r="P21" s="55"/>
      <c r="Q21" s="55"/>
      <c r="R21" s="55"/>
      <c r="S21" s="55"/>
      <c r="T21" s="55"/>
      <c r="U21" s="55"/>
      <c r="V21" s="55"/>
      <c r="W21" s="56"/>
    </row>
    <row r="22" spans="1:23" ht="30.75" customHeight="1">
      <c r="A22" s="55"/>
      <c r="B22" s="146">
        <v>183</v>
      </c>
      <c r="C22" s="146" t="s">
        <v>443</v>
      </c>
      <c r="D22" s="146" t="s">
        <v>444</v>
      </c>
      <c r="E22" s="146" t="s">
        <v>30</v>
      </c>
      <c r="F22" s="146">
        <v>1065196212</v>
      </c>
      <c r="G22" s="146" t="s">
        <v>226</v>
      </c>
      <c r="H22" s="146">
        <v>506056773</v>
      </c>
      <c r="I22" s="146" t="s">
        <v>445</v>
      </c>
      <c r="J22" s="146" t="s">
        <v>63</v>
      </c>
      <c r="K22" s="146" t="s">
        <v>446</v>
      </c>
      <c r="L22" s="48">
        <v>0</v>
      </c>
      <c r="M22" s="55"/>
      <c r="N22" s="55"/>
      <c r="O22" s="55"/>
      <c r="P22" s="55"/>
      <c r="Q22" s="55"/>
      <c r="R22" s="55"/>
      <c r="S22" s="55"/>
      <c r="T22" s="55"/>
      <c r="U22" s="55"/>
      <c r="V22" s="55"/>
      <c r="W22" s="56"/>
    </row>
    <row r="23" spans="1:23" ht="30.75" customHeight="1">
      <c r="A23" s="55"/>
      <c r="B23" s="146">
        <v>281</v>
      </c>
      <c r="C23" s="146" t="s">
        <v>412</v>
      </c>
      <c r="D23" s="146" t="s">
        <v>1668</v>
      </c>
      <c r="E23" s="146" t="s">
        <v>30</v>
      </c>
      <c r="F23" s="146">
        <v>1088571292</v>
      </c>
      <c r="G23" s="146" t="s">
        <v>226</v>
      </c>
      <c r="H23" s="146">
        <v>504436877</v>
      </c>
      <c r="I23" s="146" t="s">
        <v>413</v>
      </c>
      <c r="J23" s="146" t="s">
        <v>63</v>
      </c>
      <c r="K23" s="146" t="s">
        <v>414</v>
      </c>
      <c r="L23" s="48">
        <v>1</v>
      </c>
      <c r="M23" s="55"/>
      <c r="N23" s="55"/>
      <c r="O23" s="55"/>
      <c r="P23" s="55"/>
      <c r="Q23" s="55"/>
      <c r="R23" s="55"/>
      <c r="S23" s="55"/>
      <c r="T23" s="55"/>
      <c r="U23" s="55"/>
      <c r="V23" s="55"/>
      <c r="W23" s="56"/>
    </row>
    <row r="24" spans="1:23" ht="30.75" customHeight="1">
      <c r="A24" s="55"/>
      <c r="B24" s="46"/>
      <c r="C24" s="70"/>
      <c r="D24" s="47"/>
      <c r="E24" s="47"/>
      <c r="F24" s="48"/>
      <c r="G24" s="47"/>
      <c r="H24" s="48"/>
      <c r="I24" s="45"/>
      <c r="J24" s="49"/>
      <c r="K24" s="49"/>
      <c r="L24" s="48"/>
      <c r="M24" s="55"/>
      <c r="N24" s="55"/>
      <c r="O24" s="55"/>
      <c r="P24" s="55"/>
      <c r="Q24" s="55"/>
      <c r="R24" s="55"/>
      <c r="S24" s="55"/>
      <c r="T24" s="55"/>
      <c r="U24" s="55"/>
      <c r="V24" s="55"/>
      <c r="W24" s="56"/>
    </row>
    <row r="25" spans="1:23" ht="30.75" customHeight="1">
      <c r="A25" s="55"/>
      <c r="B25" s="158"/>
      <c r="C25" s="179"/>
      <c r="D25" s="47"/>
      <c r="E25" s="47"/>
      <c r="F25" s="48"/>
      <c r="G25" s="47"/>
      <c r="H25" s="48"/>
      <c r="I25" s="45"/>
      <c r="J25" s="49"/>
      <c r="K25" s="49"/>
      <c r="L25" s="48"/>
      <c r="M25" s="55"/>
      <c r="N25" s="55"/>
      <c r="O25" s="55"/>
      <c r="P25" s="55"/>
      <c r="Q25" s="55"/>
      <c r="R25" s="55"/>
      <c r="S25" s="55"/>
      <c r="T25" s="55"/>
      <c r="U25" s="55"/>
      <c r="V25" s="55"/>
      <c r="W25" s="56"/>
    </row>
    <row r="26" spans="1:23" ht="30.75" customHeight="1">
      <c r="A26" s="55"/>
      <c r="B26" s="158"/>
      <c r="C26" s="179"/>
      <c r="D26" s="47"/>
      <c r="E26" s="47"/>
      <c r="F26" s="48"/>
      <c r="G26" s="47"/>
      <c r="H26" s="48"/>
      <c r="I26" s="45"/>
      <c r="J26" s="49"/>
      <c r="K26" s="49"/>
      <c r="L26" s="48"/>
      <c r="M26" s="55"/>
      <c r="N26" s="55"/>
      <c r="O26" s="55"/>
      <c r="P26" s="55"/>
      <c r="Q26" s="55"/>
      <c r="R26" s="55"/>
      <c r="S26" s="55"/>
      <c r="T26" s="55"/>
      <c r="U26" s="55"/>
      <c r="V26" s="55"/>
      <c r="W26" s="56"/>
    </row>
    <row r="27" spans="1:23">
      <c r="A27" s="55"/>
      <c r="B27" s="55"/>
      <c r="C27" s="55"/>
      <c r="D27" s="55"/>
      <c r="E27" s="55"/>
      <c r="F27" s="55"/>
      <c r="G27" s="55"/>
      <c r="H27" s="55"/>
      <c r="I27" s="55"/>
      <c r="J27" s="55"/>
      <c r="K27" s="55"/>
      <c r="L27" s="55"/>
      <c r="M27" s="55"/>
      <c r="N27" s="55"/>
      <c r="O27" s="55"/>
      <c r="P27" s="55"/>
      <c r="Q27" s="55"/>
      <c r="R27" s="55"/>
      <c r="S27" s="55"/>
      <c r="T27" s="55"/>
      <c r="U27" s="55"/>
      <c r="V27" s="55"/>
      <c r="W27" s="56"/>
    </row>
    <row r="28" spans="1:23">
      <c r="A28" s="55"/>
      <c r="B28" s="55"/>
      <c r="C28" s="55"/>
      <c r="D28" s="55"/>
      <c r="E28" s="55"/>
      <c r="F28" s="55"/>
      <c r="G28" s="55"/>
      <c r="H28" s="55"/>
      <c r="I28" s="55"/>
      <c r="J28" s="55"/>
      <c r="K28" s="55"/>
      <c r="L28" s="55"/>
      <c r="M28" s="55"/>
      <c r="N28" s="55"/>
      <c r="O28" s="55"/>
      <c r="P28" s="55"/>
      <c r="Q28" s="55"/>
      <c r="R28" s="55"/>
      <c r="S28" s="55"/>
      <c r="T28" s="55"/>
      <c r="U28" s="55"/>
      <c r="V28" s="55"/>
      <c r="W28" s="56"/>
    </row>
    <row r="29" spans="1:23" s="182" customFormat="1" ht="60" customHeight="1">
      <c r="A29" s="180"/>
      <c r="B29" s="180"/>
      <c r="C29" s="635" t="s">
        <v>360</v>
      </c>
      <c r="D29" s="635"/>
      <c r="E29" s="635"/>
      <c r="F29" s="635"/>
      <c r="G29" s="635"/>
      <c r="H29" s="180"/>
      <c r="I29" s="180"/>
      <c r="J29" s="180"/>
      <c r="K29" s="180"/>
      <c r="L29" s="180"/>
      <c r="M29" s="180"/>
      <c r="N29" s="180"/>
      <c r="O29" s="180"/>
      <c r="P29" s="180"/>
      <c r="Q29" s="180"/>
      <c r="R29" s="180"/>
      <c r="S29" s="180"/>
      <c r="T29" s="180"/>
      <c r="U29" s="180"/>
      <c r="V29" s="180"/>
      <c r="W29" s="181"/>
    </row>
    <row r="30" spans="1:23" s="182" customFormat="1" ht="60" customHeight="1">
      <c r="A30" s="180"/>
      <c r="B30" s="180"/>
      <c r="C30" s="141" t="s">
        <v>225</v>
      </c>
      <c r="D30" s="141" t="s">
        <v>226</v>
      </c>
      <c r="E30" s="141" t="s">
        <v>227</v>
      </c>
      <c r="F30" s="141" t="s">
        <v>8</v>
      </c>
      <c r="G30" s="483" t="s">
        <v>1309</v>
      </c>
      <c r="H30" s="180"/>
      <c r="I30" s="180"/>
      <c r="J30" s="180"/>
      <c r="K30" s="180"/>
      <c r="L30" s="180"/>
      <c r="M30" s="180"/>
      <c r="N30" s="180"/>
      <c r="O30" s="180"/>
      <c r="P30" s="180"/>
      <c r="Q30" s="180"/>
      <c r="R30" s="180"/>
      <c r="S30" s="180"/>
      <c r="T30" s="180"/>
      <c r="U30" s="180"/>
      <c r="V30" s="180"/>
      <c r="W30" s="181"/>
    </row>
    <row r="31" spans="1:23" s="182" customFormat="1" ht="60" customHeight="1">
      <c r="A31" s="180"/>
      <c r="B31" s="180"/>
      <c r="C31" s="146" t="s">
        <v>145</v>
      </c>
      <c r="D31" s="484">
        <v>0</v>
      </c>
      <c r="E31" s="484">
        <v>0</v>
      </c>
      <c r="F31" s="485">
        <f>SUM(D31:E31)</f>
        <v>0</v>
      </c>
      <c r="G31" s="484">
        <f>L4</f>
        <v>0</v>
      </c>
      <c r="H31" s="180"/>
      <c r="I31" s="180"/>
      <c r="J31" s="180"/>
      <c r="K31" s="180"/>
      <c r="L31" s="180"/>
      <c r="M31" s="180"/>
      <c r="N31" s="180"/>
      <c r="O31" s="180"/>
      <c r="P31" s="180"/>
      <c r="Q31" s="180"/>
      <c r="R31" s="180"/>
      <c r="S31" s="180"/>
      <c r="T31" s="180"/>
      <c r="U31" s="180"/>
      <c r="V31" s="180"/>
      <c r="W31" s="181"/>
    </row>
    <row r="32" spans="1:23" s="182" customFormat="1" ht="60" customHeight="1">
      <c r="A32" s="180"/>
      <c r="B32" s="180"/>
      <c r="C32" s="146" t="s">
        <v>4</v>
      </c>
      <c r="D32" s="484">
        <v>2</v>
      </c>
      <c r="E32" s="486">
        <v>0</v>
      </c>
      <c r="F32" s="485">
        <f t="shared" ref="F32:F34" si="0">SUM(D32:E32)</f>
        <v>2</v>
      </c>
      <c r="G32" s="484">
        <f>L7+L8+L9+L10</f>
        <v>0</v>
      </c>
      <c r="H32" s="180"/>
      <c r="I32" s="180"/>
      <c r="J32" s="180"/>
      <c r="K32" s="180"/>
      <c r="L32" s="180"/>
      <c r="M32" s="180"/>
      <c r="N32" s="180"/>
      <c r="O32" s="180"/>
      <c r="P32" s="180"/>
      <c r="Q32" s="180"/>
      <c r="R32" s="180"/>
      <c r="S32" s="180"/>
      <c r="T32" s="180"/>
      <c r="U32" s="180"/>
      <c r="V32" s="180"/>
      <c r="W32" s="181"/>
    </row>
    <row r="33" spans="1:23" s="182" customFormat="1" ht="60" customHeight="1">
      <c r="A33" s="180"/>
      <c r="B33" s="180"/>
      <c r="C33" s="146" t="s">
        <v>6</v>
      </c>
      <c r="D33" s="484">
        <v>2</v>
      </c>
      <c r="E33" s="484">
        <v>0</v>
      </c>
      <c r="F33" s="485">
        <f t="shared" si="0"/>
        <v>2</v>
      </c>
      <c r="G33" s="484">
        <f>L13+L14+L15+L16+L17</f>
        <v>1</v>
      </c>
      <c r="H33" s="180"/>
      <c r="I33" s="180"/>
      <c r="J33" s="180"/>
      <c r="K33" s="180"/>
      <c r="L33" s="180"/>
      <c r="M33" s="180"/>
      <c r="N33" s="180"/>
      <c r="O33" s="180"/>
      <c r="P33" s="180"/>
      <c r="Q33" s="180"/>
      <c r="R33" s="180"/>
      <c r="S33" s="180"/>
      <c r="T33" s="180"/>
      <c r="U33" s="180"/>
      <c r="V33" s="180"/>
      <c r="W33" s="181"/>
    </row>
    <row r="34" spans="1:23" s="182" customFormat="1" ht="60" customHeight="1">
      <c r="A34" s="180"/>
      <c r="B34" s="180"/>
      <c r="C34" s="146" t="s">
        <v>7</v>
      </c>
      <c r="D34" s="484">
        <v>4</v>
      </c>
      <c r="E34" s="486">
        <v>0</v>
      </c>
      <c r="F34" s="485">
        <f t="shared" si="0"/>
        <v>4</v>
      </c>
      <c r="G34" s="484">
        <f>L20+L21+L22+L23+L24+L25+L26</f>
        <v>3</v>
      </c>
      <c r="H34" s="180"/>
      <c r="I34" s="180"/>
      <c r="J34" s="180"/>
      <c r="K34" s="180"/>
      <c r="L34" s="180"/>
      <c r="M34" s="180"/>
      <c r="N34" s="180"/>
      <c r="O34" s="180"/>
      <c r="P34" s="180"/>
      <c r="Q34" s="180"/>
      <c r="R34" s="180"/>
      <c r="S34" s="180"/>
      <c r="T34" s="180"/>
      <c r="U34" s="180"/>
      <c r="V34" s="180"/>
      <c r="W34" s="181"/>
    </row>
    <row r="35" spans="1:23" s="182" customFormat="1" ht="60" customHeight="1">
      <c r="A35" s="180"/>
      <c r="B35" s="180"/>
      <c r="C35" s="141" t="s">
        <v>8</v>
      </c>
      <c r="D35" s="418">
        <f>SUM(D31:D34)</f>
        <v>8</v>
      </c>
      <c r="E35" s="418">
        <f>SUM(E31:E34)</f>
        <v>0</v>
      </c>
      <c r="F35" s="418">
        <f>SUM(F31:F34)</f>
        <v>8</v>
      </c>
      <c r="G35" s="418">
        <f>SUM(G31:G34)</f>
        <v>4</v>
      </c>
      <c r="H35" s="180"/>
      <c r="I35" s="180"/>
      <c r="J35" s="180"/>
      <c r="K35" s="180"/>
      <c r="L35" s="180"/>
      <c r="M35" s="180"/>
      <c r="N35" s="180"/>
      <c r="O35" s="180"/>
      <c r="P35" s="180"/>
      <c r="Q35" s="180"/>
      <c r="R35" s="180"/>
      <c r="S35" s="180"/>
      <c r="T35" s="180"/>
      <c r="U35" s="180"/>
      <c r="V35" s="180"/>
      <c r="W35" s="181"/>
    </row>
    <row r="36" spans="1:23">
      <c r="A36" s="55"/>
      <c r="B36" s="55"/>
      <c r="C36" s="55"/>
      <c r="D36" s="55"/>
      <c r="E36" s="55"/>
      <c r="F36" s="55"/>
      <c r="G36" s="55"/>
      <c r="H36" s="55"/>
      <c r="I36" s="55"/>
      <c r="J36" s="55"/>
      <c r="K36" s="55"/>
      <c r="L36" s="55"/>
      <c r="M36" s="55"/>
      <c r="N36" s="55"/>
      <c r="O36" s="55"/>
      <c r="P36" s="55"/>
      <c r="Q36" s="55"/>
      <c r="R36" s="55"/>
      <c r="S36" s="55"/>
      <c r="T36" s="55"/>
      <c r="U36" s="55"/>
      <c r="V36" s="55"/>
      <c r="W36" s="56"/>
    </row>
    <row r="37" spans="1:23">
      <c r="A37" s="55"/>
      <c r="B37" s="55"/>
      <c r="C37" s="55"/>
      <c r="D37" s="55"/>
      <c r="E37" s="55"/>
      <c r="F37" s="55"/>
      <c r="G37" s="55"/>
      <c r="H37" s="55"/>
      <c r="I37" s="55"/>
      <c r="J37" s="55"/>
      <c r="K37" s="55"/>
      <c r="L37" s="55"/>
      <c r="M37" s="55"/>
      <c r="N37" s="55"/>
      <c r="O37" s="55"/>
      <c r="P37" s="55"/>
      <c r="Q37" s="55"/>
      <c r="R37" s="55"/>
      <c r="S37" s="55"/>
      <c r="T37" s="55"/>
      <c r="U37" s="55"/>
      <c r="V37" s="55"/>
      <c r="W37" s="56"/>
    </row>
    <row r="38" spans="1:23">
      <c r="A38" s="55"/>
      <c r="B38" s="55"/>
      <c r="C38" s="55"/>
      <c r="D38" s="55"/>
      <c r="E38" s="55"/>
      <c r="F38" s="55"/>
      <c r="G38" s="55"/>
      <c r="H38" s="55"/>
      <c r="I38" s="55"/>
      <c r="J38" s="55"/>
      <c r="K38" s="55"/>
      <c r="L38" s="55"/>
      <c r="M38" s="55"/>
      <c r="N38" s="55"/>
      <c r="O38" s="55"/>
      <c r="P38" s="55"/>
      <c r="Q38" s="55"/>
      <c r="R38" s="55"/>
      <c r="S38" s="55"/>
      <c r="T38" s="55"/>
      <c r="U38" s="55"/>
      <c r="V38" s="55"/>
      <c r="W38" s="56"/>
    </row>
    <row r="39" spans="1:23">
      <c r="A39" s="55"/>
      <c r="B39" s="55"/>
      <c r="C39" s="55"/>
      <c r="D39" s="55"/>
      <c r="E39" s="55"/>
      <c r="F39" s="55"/>
      <c r="G39" s="55"/>
      <c r="H39" s="55"/>
      <c r="I39" s="55"/>
      <c r="J39" s="55"/>
      <c r="K39" s="55"/>
      <c r="L39" s="55"/>
      <c r="M39" s="55"/>
      <c r="N39" s="55"/>
      <c r="O39" s="55"/>
      <c r="P39" s="55"/>
      <c r="Q39" s="55"/>
      <c r="R39" s="55"/>
      <c r="S39" s="55"/>
      <c r="T39" s="55"/>
      <c r="U39" s="55"/>
      <c r="V39" s="55"/>
      <c r="W39" s="56"/>
    </row>
    <row r="40" spans="1:23">
      <c r="A40" s="55"/>
      <c r="B40" s="55"/>
      <c r="C40" s="55"/>
      <c r="D40" s="55"/>
      <c r="E40" s="55"/>
      <c r="F40" s="55"/>
      <c r="G40" s="55"/>
      <c r="H40" s="55"/>
      <c r="I40" s="55"/>
      <c r="J40" s="55"/>
      <c r="K40" s="55"/>
      <c r="L40" s="55"/>
      <c r="M40" s="55"/>
      <c r="N40" s="55"/>
      <c r="O40" s="55"/>
      <c r="P40" s="55"/>
      <c r="Q40" s="55"/>
      <c r="R40" s="55"/>
      <c r="S40" s="55"/>
      <c r="T40" s="55"/>
      <c r="U40" s="55"/>
      <c r="V40" s="55"/>
      <c r="W40" s="56"/>
    </row>
    <row r="41" spans="1:23">
      <c r="A41" s="55"/>
      <c r="B41" s="55"/>
      <c r="C41" s="55"/>
      <c r="D41" s="55"/>
      <c r="E41" s="55"/>
      <c r="F41" s="55"/>
      <c r="G41" s="55"/>
      <c r="H41" s="55"/>
      <c r="I41" s="55"/>
      <c r="J41" s="55"/>
      <c r="K41" s="55"/>
      <c r="L41" s="55"/>
      <c r="M41" s="55"/>
      <c r="N41" s="55"/>
      <c r="O41" s="55"/>
      <c r="P41" s="55"/>
      <c r="Q41" s="55"/>
      <c r="R41" s="55"/>
      <c r="S41" s="55"/>
      <c r="T41" s="55"/>
      <c r="U41" s="55"/>
      <c r="V41" s="55"/>
      <c r="W41" s="56"/>
    </row>
    <row r="42" spans="1:23">
      <c r="A42" s="55"/>
      <c r="B42" s="55"/>
      <c r="C42" s="55"/>
      <c r="D42" s="55"/>
      <c r="E42" s="55"/>
      <c r="F42" s="55"/>
      <c r="G42" s="55"/>
      <c r="H42" s="55"/>
      <c r="I42" s="55"/>
      <c r="J42" s="55"/>
      <c r="K42" s="55"/>
      <c r="L42" s="55"/>
      <c r="M42" s="55"/>
      <c r="N42" s="55"/>
      <c r="O42" s="55"/>
      <c r="P42" s="55"/>
      <c r="Q42" s="55"/>
      <c r="R42" s="55"/>
      <c r="S42" s="55"/>
      <c r="T42" s="55"/>
      <c r="U42" s="55"/>
      <c r="V42" s="55"/>
      <c r="W42" s="56"/>
    </row>
    <row r="43" spans="1:23">
      <c r="A43" s="55"/>
      <c r="B43" s="55"/>
      <c r="C43" s="55"/>
      <c r="D43" s="55"/>
      <c r="E43" s="55"/>
      <c r="F43" s="55"/>
      <c r="G43" s="55"/>
      <c r="H43" s="55"/>
      <c r="I43" s="55"/>
      <c r="J43" s="55"/>
      <c r="K43" s="55"/>
      <c r="L43" s="55"/>
      <c r="M43" s="55"/>
      <c r="N43" s="55"/>
      <c r="O43" s="55"/>
      <c r="P43" s="55"/>
      <c r="Q43" s="55"/>
      <c r="R43" s="55"/>
      <c r="S43" s="55"/>
      <c r="T43" s="55"/>
      <c r="U43" s="55"/>
      <c r="V43" s="55"/>
      <c r="W43" s="56"/>
    </row>
    <row r="44" spans="1:23">
      <c r="A44" s="55"/>
      <c r="B44" s="55"/>
      <c r="C44" s="55"/>
      <c r="D44" s="55"/>
      <c r="E44" s="55"/>
      <c r="F44" s="55"/>
      <c r="G44" s="55"/>
      <c r="H44" s="55"/>
      <c r="I44" s="55"/>
      <c r="J44" s="55"/>
      <c r="K44" s="55"/>
      <c r="L44" s="55"/>
      <c r="M44" s="55"/>
      <c r="N44" s="55"/>
      <c r="O44" s="55"/>
      <c r="P44" s="55"/>
      <c r="Q44" s="55"/>
      <c r="R44" s="55"/>
      <c r="S44" s="55"/>
      <c r="T44" s="55"/>
      <c r="U44" s="55"/>
      <c r="V44" s="55"/>
      <c r="W44" s="56"/>
    </row>
    <row r="45" spans="1:23">
      <c r="A45" s="55"/>
      <c r="B45" s="55"/>
      <c r="C45" s="55"/>
      <c r="D45" s="55"/>
      <c r="E45" s="55"/>
      <c r="F45" s="55"/>
      <c r="G45" s="55"/>
      <c r="H45" s="55"/>
      <c r="I45" s="55"/>
      <c r="J45" s="55"/>
      <c r="K45" s="55"/>
      <c r="L45" s="55"/>
      <c r="M45" s="55"/>
      <c r="N45" s="55"/>
      <c r="O45" s="55"/>
      <c r="P45" s="55"/>
      <c r="Q45" s="55"/>
      <c r="R45" s="55"/>
      <c r="S45" s="55"/>
      <c r="T45" s="55"/>
      <c r="U45" s="55"/>
      <c r="V45" s="55"/>
      <c r="W45" s="56"/>
    </row>
    <row r="46" spans="1:23">
      <c r="A46" s="55"/>
      <c r="B46" s="55"/>
      <c r="C46" s="55"/>
      <c r="D46" s="55"/>
      <c r="E46" s="55"/>
      <c r="F46" s="55"/>
      <c r="G46" s="55"/>
      <c r="H46" s="55"/>
      <c r="I46" s="55"/>
      <c r="J46" s="55"/>
      <c r="K46" s="55"/>
      <c r="L46" s="55"/>
      <c r="M46" s="55"/>
      <c r="N46" s="55"/>
      <c r="O46" s="55"/>
      <c r="P46" s="55"/>
      <c r="Q46" s="55"/>
      <c r="R46" s="55"/>
      <c r="S46" s="55"/>
      <c r="T46" s="55"/>
      <c r="U46" s="55"/>
      <c r="V46" s="55"/>
      <c r="W46" s="56"/>
    </row>
    <row r="47" spans="1:23">
      <c r="A47" s="55"/>
      <c r="B47" s="55"/>
      <c r="C47" s="55"/>
      <c r="D47" s="55"/>
      <c r="E47" s="55"/>
      <c r="F47" s="55"/>
      <c r="G47" s="55"/>
      <c r="H47" s="55"/>
      <c r="I47" s="55"/>
      <c r="J47" s="55"/>
      <c r="K47" s="55"/>
      <c r="L47" s="55"/>
      <c r="M47" s="55"/>
      <c r="N47" s="55"/>
      <c r="O47" s="55"/>
      <c r="P47" s="55"/>
      <c r="Q47" s="55"/>
      <c r="R47" s="55"/>
      <c r="S47" s="55"/>
      <c r="T47" s="55"/>
      <c r="U47" s="55"/>
      <c r="V47" s="55"/>
      <c r="W47" s="56"/>
    </row>
    <row r="48" spans="1:23">
      <c r="A48" s="55"/>
      <c r="B48" s="55"/>
      <c r="C48" s="55"/>
      <c r="D48" s="55"/>
      <c r="E48" s="55"/>
      <c r="F48" s="55"/>
      <c r="G48" s="55"/>
      <c r="H48" s="55"/>
      <c r="I48" s="55"/>
      <c r="J48" s="55"/>
      <c r="K48" s="55"/>
      <c r="L48" s="55"/>
      <c r="M48" s="55"/>
      <c r="N48" s="55"/>
      <c r="O48" s="55"/>
      <c r="P48" s="55"/>
      <c r="Q48" s="55"/>
      <c r="R48" s="55"/>
      <c r="S48" s="55"/>
      <c r="T48" s="55"/>
      <c r="U48" s="55"/>
      <c r="V48" s="55"/>
      <c r="W48" s="56"/>
    </row>
    <row r="49" spans="1:23">
      <c r="A49" s="55"/>
      <c r="B49" s="55"/>
      <c r="C49" s="55"/>
      <c r="D49" s="55"/>
      <c r="E49" s="55"/>
      <c r="F49" s="55"/>
      <c r="G49" s="55"/>
      <c r="H49" s="55"/>
      <c r="I49" s="55"/>
      <c r="J49" s="55"/>
      <c r="K49" s="55"/>
      <c r="L49" s="55"/>
      <c r="M49" s="55"/>
      <c r="N49" s="55"/>
      <c r="O49" s="55"/>
      <c r="P49" s="55"/>
      <c r="Q49" s="55"/>
      <c r="R49" s="55"/>
      <c r="S49" s="55"/>
      <c r="T49" s="55"/>
      <c r="U49" s="55"/>
      <c r="V49" s="55"/>
      <c r="W49" s="56"/>
    </row>
    <row r="50" spans="1:23">
      <c r="A50" s="55"/>
      <c r="B50" s="55"/>
      <c r="C50" s="55"/>
      <c r="D50" s="55"/>
      <c r="E50" s="55"/>
      <c r="F50" s="55"/>
      <c r="G50" s="55"/>
      <c r="H50" s="55"/>
      <c r="I50" s="55"/>
      <c r="J50" s="55"/>
      <c r="K50" s="55"/>
      <c r="L50" s="55"/>
      <c r="M50" s="55"/>
      <c r="N50" s="55"/>
      <c r="O50" s="55"/>
      <c r="P50" s="55"/>
      <c r="Q50" s="55"/>
      <c r="R50" s="55"/>
      <c r="S50" s="55"/>
      <c r="T50" s="55"/>
      <c r="U50" s="55"/>
      <c r="V50" s="55"/>
      <c r="W50" s="56"/>
    </row>
    <row r="51" spans="1:23">
      <c r="A51" s="55"/>
      <c r="B51" s="55"/>
      <c r="C51" s="55"/>
      <c r="D51" s="55"/>
      <c r="E51" s="55"/>
      <c r="F51" s="55"/>
      <c r="G51" s="55"/>
      <c r="H51" s="55"/>
      <c r="I51" s="55"/>
      <c r="J51" s="55"/>
      <c r="K51" s="55"/>
      <c r="L51" s="55"/>
      <c r="M51" s="55"/>
      <c r="N51" s="55"/>
      <c r="O51" s="55"/>
      <c r="P51" s="55"/>
      <c r="Q51" s="55"/>
      <c r="R51" s="55"/>
      <c r="S51" s="55"/>
      <c r="T51" s="55"/>
      <c r="U51" s="55"/>
      <c r="V51" s="55"/>
      <c r="W51" s="56"/>
    </row>
    <row r="52" spans="1:23">
      <c r="A52" s="55"/>
      <c r="B52" s="55"/>
      <c r="C52" s="55"/>
      <c r="D52" s="55"/>
      <c r="E52" s="55"/>
      <c r="F52" s="55"/>
      <c r="G52" s="55"/>
      <c r="H52" s="55"/>
      <c r="I52" s="55"/>
      <c r="J52" s="55"/>
      <c r="K52" s="55"/>
      <c r="L52" s="55"/>
      <c r="M52" s="55"/>
      <c r="N52" s="55"/>
      <c r="O52" s="55"/>
      <c r="P52" s="55"/>
      <c r="Q52" s="55"/>
      <c r="R52" s="55"/>
      <c r="S52" s="55"/>
      <c r="T52" s="55"/>
      <c r="U52" s="55"/>
      <c r="V52" s="55"/>
      <c r="W52" s="56"/>
    </row>
    <row r="53" spans="1:23">
      <c r="A53" s="55"/>
      <c r="B53" s="55"/>
      <c r="C53" s="55"/>
      <c r="D53" s="55"/>
      <c r="E53" s="55"/>
      <c r="F53" s="55"/>
      <c r="G53" s="55"/>
      <c r="H53" s="55"/>
      <c r="I53" s="55"/>
      <c r="J53" s="55"/>
      <c r="K53" s="55"/>
      <c r="L53" s="55"/>
      <c r="M53" s="55"/>
      <c r="N53" s="55"/>
      <c r="O53" s="55"/>
      <c r="P53" s="55"/>
      <c r="Q53" s="55"/>
      <c r="R53" s="55"/>
      <c r="S53" s="55"/>
      <c r="T53" s="55"/>
      <c r="U53" s="55"/>
      <c r="V53" s="55"/>
      <c r="W53" s="56"/>
    </row>
    <row r="54" spans="1:23">
      <c r="A54" s="55"/>
      <c r="B54" s="55"/>
      <c r="C54" s="55"/>
      <c r="D54" s="55"/>
      <c r="E54" s="55"/>
      <c r="F54" s="55"/>
      <c r="G54" s="55"/>
      <c r="H54" s="55"/>
      <c r="I54" s="55"/>
      <c r="J54" s="55"/>
      <c r="K54" s="55"/>
      <c r="L54" s="55"/>
      <c r="M54" s="55"/>
      <c r="N54" s="55"/>
      <c r="O54" s="55"/>
      <c r="P54" s="55"/>
      <c r="Q54" s="55"/>
      <c r="R54" s="55"/>
      <c r="S54" s="55"/>
      <c r="T54" s="55"/>
      <c r="U54" s="55"/>
      <c r="V54" s="55"/>
      <c r="W54" s="56"/>
    </row>
    <row r="55" spans="1:23">
      <c r="A55" s="55"/>
      <c r="B55" s="55"/>
      <c r="C55" s="55"/>
      <c r="D55" s="55"/>
      <c r="E55" s="55"/>
      <c r="F55" s="55"/>
      <c r="G55" s="55"/>
      <c r="H55" s="55"/>
      <c r="I55" s="55"/>
      <c r="J55" s="55"/>
      <c r="K55" s="55"/>
      <c r="L55" s="55"/>
      <c r="M55" s="55"/>
      <c r="N55" s="55"/>
      <c r="O55" s="55"/>
      <c r="P55" s="55"/>
      <c r="Q55" s="55"/>
      <c r="R55" s="55"/>
      <c r="S55" s="55"/>
      <c r="T55" s="55"/>
      <c r="U55" s="55"/>
      <c r="V55" s="55"/>
      <c r="W55" s="56"/>
    </row>
    <row r="56" spans="1:23">
      <c r="A56" s="55"/>
      <c r="B56" s="55"/>
      <c r="C56" s="55"/>
      <c r="D56" s="55"/>
      <c r="E56" s="55"/>
      <c r="F56" s="55"/>
      <c r="G56" s="55"/>
      <c r="H56" s="55"/>
      <c r="I56" s="55"/>
      <c r="J56" s="55"/>
      <c r="K56" s="55"/>
      <c r="L56" s="55"/>
      <c r="M56" s="55"/>
      <c r="N56" s="55"/>
      <c r="O56" s="55"/>
      <c r="P56" s="55"/>
      <c r="Q56" s="55"/>
      <c r="R56" s="55"/>
      <c r="S56" s="55"/>
      <c r="T56" s="55"/>
      <c r="U56" s="55"/>
      <c r="V56" s="55"/>
      <c r="W56" s="56"/>
    </row>
    <row r="57" spans="1:23">
      <c r="A57" s="55"/>
      <c r="B57" s="55"/>
      <c r="C57" s="55"/>
      <c r="D57" s="55"/>
      <c r="E57" s="55"/>
      <c r="F57" s="55"/>
      <c r="G57" s="55"/>
      <c r="H57" s="55"/>
      <c r="I57" s="55"/>
      <c r="J57" s="55"/>
      <c r="K57" s="55"/>
      <c r="L57" s="55"/>
      <c r="M57" s="55"/>
      <c r="N57" s="55"/>
      <c r="O57" s="55"/>
      <c r="P57" s="55"/>
      <c r="Q57" s="55"/>
      <c r="R57" s="55"/>
      <c r="S57" s="55"/>
      <c r="T57" s="55"/>
      <c r="U57" s="55"/>
      <c r="V57" s="55"/>
      <c r="W57" s="56"/>
    </row>
    <row r="58" spans="1:23">
      <c r="A58" s="55"/>
      <c r="B58" s="55"/>
      <c r="C58" s="55"/>
      <c r="D58" s="55"/>
      <c r="E58" s="55"/>
      <c r="F58" s="55"/>
      <c r="G58" s="55"/>
      <c r="H58" s="55"/>
      <c r="I58" s="55"/>
      <c r="J58" s="55"/>
      <c r="K58" s="55"/>
      <c r="L58" s="55"/>
      <c r="M58" s="55"/>
      <c r="N58" s="55"/>
      <c r="O58" s="55"/>
      <c r="P58" s="55"/>
      <c r="Q58" s="55"/>
      <c r="R58" s="55"/>
      <c r="S58" s="55"/>
      <c r="T58" s="55"/>
      <c r="U58" s="55"/>
      <c r="V58" s="55"/>
      <c r="W58" s="56"/>
    </row>
    <row r="59" spans="1:23">
      <c r="A59" s="55"/>
      <c r="B59" s="55"/>
      <c r="C59" s="55"/>
      <c r="D59" s="55"/>
      <c r="E59" s="55"/>
      <c r="F59" s="55"/>
      <c r="G59" s="55"/>
      <c r="H59" s="55"/>
      <c r="I59" s="55"/>
      <c r="J59" s="55"/>
      <c r="K59" s="55"/>
      <c r="L59" s="55"/>
      <c r="M59" s="55"/>
      <c r="N59" s="55"/>
      <c r="O59" s="55"/>
      <c r="P59" s="55"/>
      <c r="Q59" s="55"/>
      <c r="R59" s="55"/>
      <c r="S59" s="55"/>
      <c r="T59" s="55"/>
      <c r="U59" s="55"/>
      <c r="V59" s="55"/>
      <c r="W59" s="56"/>
    </row>
    <row r="60" spans="1:23">
      <c r="A60" s="55"/>
      <c r="B60" s="55"/>
      <c r="C60" s="55"/>
      <c r="D60" s="55"/>
      <c r="E60" s="55"/>
      <c r="F60" s="55"/>
      <c r="G60" s="55"/>
      <c r="H60" s="55"/>
      <c r="I60" s="55"/>
      <c r="J60" s="55"/>
      <c r="K60" s="55"/>
      <c r="L60" s="55"/>
      <c r="M60" s="55"/>
      <c r="N60" s="55"/>
      <c r="O60" s="55"/>
      <c r="P60" s="55"/>
      <c r="Q60" s="55"/>
      <c r="R60" s="55"/>
      <c r="S60" s="55"/>
      <c r="T60" s="55"/>
      <c r="U60" s="55"/>
      <c r="V60" s="55"/>
      <c r="W60" s="56"/>
    </row>
    <row r="61" spans="1:23">
      <c r="A61" s="55"/>
      <c r="B61" s="55"/>
      <c r="C61" s="55"/>
      <c r="D61" s="55"/>
      <c r="E61" s="55"/>
      <c r="F61" s="55"/>
      <c r="G61" s="55"/>
      <c r="H61" s="55"/>
      <c r="I61" s="55"/>
      <c r="J61" s="55"/>
      <c r="K61" s="55"/>
      <c r="L61" s="55"/>
      <c r="M61" s="55"/>
      <c r="N61" s="55"/>
      <c r="O61" s="55"/>
      <c r="P61" s="55"/>
      <c r="Q61" s="55"/>
      <c r="R61" s="55"/>
      <c r="S61" s="55"/>
      <c r="T61" s="55"/>
      <c r="U61" s="55"/>
      <c r="V61" s="55"/>
      <c r="W61" s="56"/>
    </row>
    <row r="62" spans="1:23">
      <c r="A62" s="55"/>
      <c r="B62" s="55"/>
      <c r="C62" s="55"/>
      <c r="D62" s="55"/>
      <c r="E62" s="55"/>
      <c r="F62" s="55"/>
      <c r="G62" s="55"/>
      <c r="H62" s="55"/>
      <c r="I62" s="55"/>
      <c r="J62" s="55"/>
      <c r="K62" s="55"/>
      <c r="L62" s="55"/>
      <c r="M62" s="55"/>
      <c r="N62" s="55"/>
      <c r="O62" s="55"/>
      <c r="P62" s="55"/>
      <c r="Q62" s="55"/>
      <c r="R62" s="55"/>
      <c r="S62" s="55"/>
      <c r="T62" s="55"/>
      <c r="U62" s="55"/>
      <c r="V62" s="55"/>
      <c r="W62" s="56"/>
    </row>
    <row r="63" spans="1:23">
      <c r="A63" s="55"/>
      <c r="B63" s="55"/>
      <c r="C63" s="55"/>
      <c r="D63" s="55"/>
      <c r="E63" s="55"/>
      <c r="F63" s="55"/>
      <c r="G63" s="55"/>
      <c r="H63" s="55"/>
      <c r="I63" s="55"/>
      <c r="J63" s="55"/>
      <c r="K63" s="55"/>
      <c r="L63" s="55"/>
      <c r="M63" s="55"/>
      <c r="N63" s="55"/>
      <c r="O63" s="55"/>
      <c r="P63" s="55"/>
      <c r="Q63" s="55"/>
      <c r="R63" s="55"/>
      <c r="S63" s="55"/>
      <c r="T63" s="55"/>
      <c r="U63" s="55"/>
      <c r="V63" s="55"/>
      <c r="W63" s="56"/>
    </row>
    <row r="64" spans="1:23">
      <c r="A64" s="55"/>
      <c r="B64" s="55"/>
      <c r="C64" s="55"/>
      <c r="D64" s="55"/>
      <c r="E64" s="55"/>
      <c r="F64" s="55"/>
      <c r="G64" s="55"/>
      <c r="H64" s="55"/>
      <c r="I64" s="55"/>
      <c r="J64" s="55"/>
      <c r="K64" s="55"/>
      <c r="L64" s="55"/>
      <c r="M64" s="55"/>
      <c r="N64" s="55"/>
      <c r="O64" s="55"/>
      <c r="P64" s="55"/>
      <c r="Q64" s="55"/>
      <c r="R64" s="55"/>
      <c r="S64" s="55"/>
      <c r="T64" s="55"/>
      <c r="U64" s="55"/>
      <c r="V64" s="55"/>
      <c r="W64" s="56"/>
    </row>
    <row r="65" spans="1:23">
      <c r="A65" s="55"/>
      <c r="B65" s="55"/>
      <c r="C65" s="55"/>
      <c r="D65" s="55"/>
      <c r="E65" s="55"/>
      <c r="F65" s="55"/>
      <c r="G65" s="55"/>
      <c r="H65" s="55"/>
      <c r="I65" s="55"/>
      <c r="J65" s="55"/>
      <c r="K65" s="55"/>
      <c r="L65" s="55"/>
      <c r="M65" s="55"/>
      <c r="N65" s="55"/>
      <c r="O65" s="55"/>
      <c r="P65" s="55"/>
      <c r="Q65" s="55"/>
      <c r="R65" s="55"/>
      <c r="S65" s="55"/>
      <c r="T65" s="55"/>
      <c r="U65" s="55"/>
      <c r="V65" s="55"/>
      <c r="W65" s="56"/>
    </row>
    <row r="66" spans="1:23">
      <c r="A66" s="55"/>
      <c r="B66" s="55"/>
      <c r="C66" s="55"/>
      <c r="D66" s="55"/>
      <c r="E66" s="55"/>
      <c r="F66" s="55"/>
      <c r="G66" s="55"/>
      <c r="H66" s="55"/>
      <c r="I66" s="55"/>
      <c r="J66" s="55"/>
      <c r="K66" s="55"/>
      <c r="L66" s="55"/>
      <c r="M66" s="55"/>
      <c r="N66" s="55"/>
      <c r="O66" s="55"/>
      <c r="P66" s="55"/>
      <c r="Q66" s="55"/>
      <c r="R66" s="55"/>
      <c r="S66" s="55"/>
      <c r="T66" s="55"/>
      <c r="U66" s="55"/>
      <c r="V66" s="55"/>
      <c r="W66" s="56"/>
    </row>
    <row r="67" spans="1:23">
      <c r="A67" s="55"/>
      <c r="B67" s="55"/>
      <c r="C67" s="55"/>
      <c r="D67" s="55"/>
      <c r="E67" s="55"/>
      <c r="F67" s="55"/>
      <c r="G67" s="55"/>
      <c r="H67" s="55"/>
      <c r="I67" s="55"/>
      <c r="J67" s="55"/>
      <c r="K67" s="55"/>
      <c r="L67" s="55"/>
      <c r="M67" s="55"/>
      <c r="N67" s="55"/>
      <c r="O67" s="55"/>
      <c r="P67" s="55"/>
      <c r="Q67" s="55"/>
      <c r="R67" s="55"/>
      <c r="S67" s="55"/>
      <c r="T67" s="55"/>
      <c r="U67" s="55"/>
      <c r="V67" s="55"/>
      <c r="W67" s="56"/>
    </row>
    <row r="68" spans="1:23">
      <c r="A68" s="55"/>
      <c r="B68" s="55"/>
      <c r="C68" s="55"/>
      <c r="D68" s="55"/>
      <c r="E68" s="55"/>
      <c r="F68" s="55"/>
      <c r="G68" s="55"/>
      <c r="H68" s="55"/>
      <c r="I68" s="55"/>
      <c r="J68" s="55"/>
      <c r="K68" s="55"/>
      <c r="L68" s="55"/>
      <c r="M68" s="55"/>
      <c r="N68" s="55"/>
      <c r="O68" s="55"/>
      <c r="P68" s="55"/>
      <c r="Q68" s="55"/>
      <c r="R68" s="55"/>
      <c r="S68" s="55"/>
      <c r="T68" s="55"/>
      <c r="U68" s="55"/>
      <c r="V68" s="55"/>
      <c r="W68" s="56"/>
    </row>
    <row r="69" spans="1:23">
      <c r="A69" s="55"/>
      <c r="B69" s="55"/>
      <c r="C69" s="55"/>
      <c r="D69" s="55"/>
      <c r="E69" s="55"/>
      <c r="F69" s="55"/>
      <c r="G69" s="55"/>
      <c r="H69" s="55"/>
      <c r="I69" s="55"/>
      <c r="J69" s="55"/>
      <c r="K69" s="55"/>
      <c r="L69" s="55"/>
      <c r="M69" s="55"/>
      <c r="N69" s="55"/>
      <c r="O69" s="55"/>
      <c r="P69" s="55"/>
      <c r="Q69" s="55"/>
      <c r="R69" s="55"/>
      <c r="S69" s="55"/>
      <c r="T69" s="55"/>
      <c r="U69" s="55"/>
      <c r="V69" s="55"/>
      <c r="W69" s="56"/>
    </row>
    <row r="70" spans="1:23">
      <c r="A70" s="55"/>
      <c r="B70" s="55"/>
      <c r="C70" s="55"/>
      <c r="D70" s="55"/>
      <c r="E70" s="55"/>
      <c r="F70" s="55"/>
      <c r="G70" s="55"/>
      <c r="H70" s="55"/>
      <c r="I70" s="55"/>
      <c r="J70" s="55"/>
      <c r="K70" s="55"/>
      <c r="L70" s="55"/>
      <c r="M70" s="55"/>
      <c r="N70" s="55"/>
      <c r="O70" s="55"/>
      <c r="P70" s="55"/>
      <c r="Q70" s="55"/>
      <c r="R70" s="55"/>
      <c r="S70" s="55"/>
      <c r="T70" s="55"/>
      <c r="U70" s="55"/>
      <c r="V70" s="55"/>
      <c r="W70" s="56"/>
    </row>
    <row r="71" spans="1:23">
      <c r="A71" s="55"/>
      <c r="B71" s="55"/>
      <c r="C71" s="55"/>
      <c r="D71" s="55"/>
      <c r="E71" s="55"/>
      <c r="F71" s="55"/>
      <c r="G71" s="55"/>
      <c r="H71" s="55"/>
      <c r="I71" s="55"/>
      <c r="J71" s="55"/>
      <c r="K71" s="55"/>
      <c r="L71" s="55"/>
      <c r="M71" s="55"/>
      <c r="N71" s="55"/>
      <c r="O71" s="55"/>
      <c r="P71" s="55"/>
      <c r="Q71" s="55"/>
      <c r="R71" s="55"/>
      <c r="S71" s="55"/>
      <c r="T71" s="55"/>
      <c r="U71" s="55"/>
      <c r="V71" s="55"/>
      <c r="W71" s="56"/>
    </row>
    <row r="72" spans="1:23">
      <c r="A72" s="55"/>
      <c r="B72" s="55"/>
      <c r="C72" s="55"/>
      <c r="D72" s="55"/>
      <c r="E72" s="55"/>
      <c r="F72" s="55"/>
      <c r="G72" s="55"/>
      <c r="H72" s="55"/>
      <c r="I72" s="55"/>
      <c r="J72" s="55"/>
      <c r="K72" s="55"/>
      <c r="L72" s="55"/>
      <c r="M72" s="55"/>
      <c r="N72" s="55"/>
      <c r="O72" s="55"/>
      <c r="P72" s="55"/>
      <c r="Q72" s="55"/>
      <c r="R72" s="55"/>
      <c r="S72" s="55"/>
      <c r="T72" s="55"/>
      <c r="U72" s="55"/>
      <c r="V72" s="55"/>
      <c r="W72" s="56"/>
    </row>
    <row r="73" spans="1:23">
      <c r="A73" s="55"/>
      <c r="B73" s="55"/>
      <c r="C73" s="55"/>
      <c r="D73" s="55"/>
      <c r="E73" s="55"/>
      <c r="F73" s="55"/>
      <c r="G73" s="55"/>
      <c r="H73" s="55"/>
      <c r="I73" s="55"/>
      <c r="J73" s="55"/>
      <c r="K73" s="55"/>
      <c r="L73" s="55"/>
      <c r="M73" s="55"/>
      <c r="N73" s="55"/>
      <c r="O73" s="55"/>
      <c r="P73" s="55"/>
      <c r="Q73" s="55"/>
      <c r="R73" s="55"/>
      <c r="S73" s="55"/>
      <c r="T73" s="55"/>
      <c r="U73" s="55"/>
      <c r="V73" s="55"/>
      <c r="W73" s="56"/>
    </row>
    <row r="74" spans="1:23">
      <c r="A74" s="55"/>
      <c r="B74" s="55"/>
      <c r="C74" s="55"/>
      <c r="D74" s="55"/>
      <c r="E74" s="55"/>
      <c r="F74" s="55"/>
      <c r="G74" s="55"/>
      <c r="H74" s="55"/>
      <c r="I74" s="55"/>
      <c r="J74" s="55"/>
      <c r="K74" s="55"/>
      <c r="L74" s="55"/>
      <c r="M74" s="55"/>
      <c r="N74" s="55"/>
      <c r="O74" s="55"/>
      <c r="P74" s="55"/>
      <c r="Q74" s="55"/>
      <c r="R74" s="55"/>
      <c r="S74" s="55"/>
      <c r="T74" s="55"/>
      <c r="U74" s="55"/>
      <c r="V74" s="55"/>
      <c r="W74" s="56"/>
    </row>
    <row r="75" spans="1:23">
      <c r="A75" s="55"/>
      <c r="B75" s="55"/>
      <c r="C75" s="55"/>
      <c r="D75" s="55"/>
      <c r="E75" s="55"/>
      <c r="F75" s="55"/>
      <c r="G75" s="55"/>
      <c r="H75" s="55"/>
      <c r="I75" s="55"/>
      <c r="J75" s="55"/>
      <c r="K75" s="55"/>
      <c r="L75" s="55"/>
      <c r="M75" s="55"/>
      <c r="N75" s="55"/>
      <c r="O75" s="55"/>
      <c r="P75" s="55"/>
      <c r="Q75" s="55"/>
      <c r="R75" s="55"/>
      <c r="S75" s="55"/>
      <c r="T75" s="55"/>
      <c r="U75" s="55"/>
      <c r="V75" s="55"/>
      <c r="W75" s="56"/>
    </row>
    <row r="76" spans="1:23">
      <c r="A76" s="55"/>
      <c r="B76" s="55"/>
      <c r="C76" s="55"/>
      <c r="D76" s="55"/>
      <c r="E76" s="55"/>
      <c r="F76" s="55"/>
      <c r="G76" s="55"/>
      <c r="H76" s="55"/>
      <c r="I76" s="55"/>
      <c r="J76" s="55"/>
      <c r="K76" s="55"/>
      <c r="L76" s="55"/>
      <c r="M76" s="55"/>
      <c r="N76" s="55"/>
      <c r="O76" s="55"/>
      <c r="P76" s="55"/>
      <c r="Q76" s="55"/>
      <c r="R76" s="55"/>
      <c r="S76" s="55"/>
      <c r="T76" s="55"/>
      <c r="U76" s="55"/>
      <c r="V76" s="55"/>
      <c r="W76" s="56"/>
    </row>
    <row r="77" spans="1:23">
      <c r="A77" s="55"/>
      <c r="B77" s="55"/>
      <c r="C77" s="55"/>
      <c r="D77" s="55"/>
      <c r="E77" s="55"/>
      <c r="F77" s="55"/>
      <c r="G77" s="55"/>
      <c r="H77" s="55"/>
      <c r="I77" s="55"/>
      <c r="J77" s="55"/>
      <c r="K77" s="55"/>
      <c r="L77" s="55"/>
      <c r="M77" s="55"/>
      <c r="N77" s="55"/>
      <c r="O77" s="55"/>
      <c r="P77" s="55"/>
      <c r="Q77" s="55"/>
      <c r="R77" s="55"/>
      <c r="S77" s="55"/>
      <c r="T77" s="55"/>
      <c r="U77" s="55"/>
      <c r="V77" s="55"/>
      <c r="W77" s="56"/>
    </row>
    <row r="78" spans="1:23">
      <c r="A78" s="55"/>
      <c r="B78" s="55"/>
      <c r="C78" s="55"/>
      <c r="D78" s="55"/>
      <c r="E78" s="55"/>
      <c r="F78" s="55"/>
      <c r="G78" s="55"/>
      <c r="H78" s="55"/>
      <c r="I78" s="55"/>
      <c r="J78" s="55"/>
      <c r="K78" s="55"/>
      <c r="L78" s="55"/>
      <c r="M78" s="55"/>
      <c r="N78" s="55"/>
      <c r="O78" s="55"/>
      <c r="P78" s="55"/>
      <c r="Q78" s="55"/>
      <c r="R78" s="55"/>
      <c r="S78" s="55"/>
      <c r="T78" s="55"/>
      <c r="U78" s="55"/>
      <c r="V78" s="55"/>
      <c r="W78" s="56"/>
    </row>
    <row r="79" spans="1:23">
      <c r="A79" s="55"/>
      <c r="B79" s="55"/>
      <c r="C79" s="55"/>
      <c r="D79" s="55"/>
      <c r="E79" s="55"/>
      <c r="F79" s="55"/>
      <c r="G79" s="55"/>
      <c r="H79" s="55"/>
      <c r="I79" s="55"/>
      <c r="J79" s="55"/>
      <c r="K79" s="55"/>
      <c r="L79" s="55"/>
      <c r="M79" s="55"/>
      <c r="N79" s="55"/>
      <c r="O79" s="55"/>
      <c r="P79" s="55"/>
      <c r="Q79" s="55"/>
      <c r="R79" s="55"/>
      <c r="S79" s="55"/>
      <c r="T79" s="55"/>
      <c r="U79" s="55"/>
      <c r="V79" s="55"/>
      <c r="W79" s="56"/>
    </row>
    <row r="80" spans="1:23">
      <c r="A80" s="55"/>
      <c r="B80" s="55"/>
      <c r="C80" s="55"/>
      <c r="D80" s="55"/>
      <c r="E80" s="55"/>
      <c r="F80" s="55"/>
      <c r="G80" s="55"/>
      <c r="H80" s="55"/>
      <c r="I80" s="55"/>
      <c r="J80" s="55"/>
      <c r="K80" s="55"/>
      <c r="L80" s="55"/>
      <c r="M80" s="55"/>
      <c r="N80" s="55"/>
      <c r="O80" s="55"/>
      <c r="P80" s="55"/>
      <c r="Q80" s="55"/>
      <c r="R80" s="55"/>
      <c r="S80" s="55"/>
      <c r="T80" s="55"/>
      <c r="U80" s="55"/>
      <c r="V80" s="55"/>
      <c r="W80" s="56"/>
    </row>
    <row r="81" spans="1:23">
      <c r="A81" s="55"/>
      <c r="B81" s="55"/>
      <c r="C81" s="55"/>
      <c r="D81" s="55"/>
      <c r="E81" s="55"/>
      <c r="F81" s="55"/>
      <c r="G81" s="55"/>
      <c r="H81" s="55"/>
      <c r="I81" s="55"/>
      <c r="J81" s="55"/>
      <c r="K81" s="55"/>
      <c r="L81" s="55"/>
      <c r="M81" s="55"/>
      <c r="N81" s="55"/>
      <c r="O81" s="55"/>
      <c r="P81" s="55"/>
      <c r="Q81" s="55"/>
      <c r="R81" s="55"/>
      <c r="S81" s="55"/>
      <c r="T81" s="55"/>
      <c r="U81" s="55"/>
      <c r="V81" s="55"/>
      <c r="W81" s="56"/>
    </row>
    <row r="82" spans="1:23">
      <c r="A82" s="55"/>
      <c r="B82" s="55"/>
      <c r="C82" s="55"/>
      <c r="D82" s="55"/>
      <c r="E82" s="55"/>
      <c r="F82" s="55"/>
      <c r="G82" s="55"/>
      <c r="H82" s="55"/>
      <c r="I82" s="55"/>
      <c r="J82" s="55"/>
      <c r="K82" s="55"/>
      <c r="L82" s="55"/>
      <c r="M82" s="55"/>
      <c r="N82" s="55"/>
      <c r="O82" s="55"/>
      <c r="P82" s="55"/>
      <c r="Q82" s="55"/>
      <c r="R82" s="55"/>
      <c r="S82" s="55"/>
      <c r="T82" s="55"/>
      <c r="U82" s="55"/>
      <c r="V82" s="55"/>
      <c r="W82" s="56"/>
    </row>
    <row r="83" spans="1:23">
      <c r="A83" s="55"/>
      <c r="B83" s="55"/>
      <c r="C83" s="55"/>
      <c r="D83" s="55"/>
      <c r="E83" s="55"/>
      <c r="F83" s="55"/>
      <c r="G83" s="55"/>
      <c r="H83" s="55"/>
      <c r="I83" s="55"/>
      <c r="J83" s="55"/>
      <c r="K83" s="55"/>
      <c r="L83" s="55"/>
      <c r="M83" s="55"/>
      <c r="N83" s="55"/>
      <c r="O83" s="55"/>
      <c r="P83" s="55"/>
      <c r="Q83" s="55"/>
      <c r="R83" s="55"/>
      <c r="S83" s="55"/>
      <c r="T83" s="55"/>
      <c r="U83" s="55"/>
      <c r="V83" s="55"/>
      <c r="W83" s="56"/>
    </row>
    <row r="84" spans="1:23">
      <c r="A84" s="55"/>
      <c r="B84" s="55"/>
      <c r="C84" s="55"/>
      <c r="D84" s="55"/>
      <c r="E84" s="55"/>
      <c r="F84" s="55"/>
      <c r="G84" s="55"/>
      <c r="H84" s="55"/>
      <c r="I84" s="55"/>
      <c r="J84" s="55"/>
      <c r="K84" s="55"/>
      <c r="L84" s="55"/>
      <c r="M84" s="55"/>
      <c r="N84" s="55"/>
      <c r="O84" s="55"/>
      <c r="P84" s="55"/>
      <c r="Q84" s="55"/>
      <c r="R84" s="55"/>
      <c r="S84" s="55"/>
      <c r="T84" s="55"/>
      <c r="U84" s="55"/>
      <c r="V84" s="55"/>
      <c r="W84" s="56"/>
    </row>
    <row r="85" spans="1:23">
      <c r="A85" s="55"/>
      <c r="B85" s="55"/>
      <c r="C85" s="55"/>
      <c r="D85" s="55"/>
      <c r="E85" s="55"/>
      <c r="F85" s="55"/>
      <c r="G85" s="55"/>
      <c r="H85" s="55"/>
      <c r="I85" s="55"/>
      <c r="J85" s="55"/>
      <c r="K85" s="55"/>
      <c r="L85" s="55"/>
      <c r="M85" s="55"/>
      <c r="N85" s="55"/>
      <c r="O85" s="55"/>
      <c r="P85" s="55"/>
      <c r="Q85" s="55"/>
      <c r="R85" s="55"/>
      <c r="S85" s="55"/>
      <c r="T85" s="55"/>
      <c r="U85" s="55"/>
      <c r="V85" s="55"/>
      <c r="W85" s="56"/>
    </row>
    <row r="86" spans="1:23">
      <c r="A86" s="55"/>
      <c r="B86" s="55"/>
      <c r="C86" s="55"/>
      <c r="D86" s="55"/>
      <c r="E86" s="55"/>
      <c r="F86" s="55"/>
      <c r="G86" s="55"/>
      <c r="H86" s="55"/>
      <c r="I86" s="55"/>
      <c r="J86" s="55"/>
      <c r="K86" s="55"/>
      <c r="L86" s="55"/>
      <c r="M86" s="55"/>
      <c r="N86" s="55"/>
      <c r="O86" s="55"/>
      <c r="P86" s="55"/>
      <c r="Q86" s="55"/>
      <c r="R86" s="55"/>
      <c r="S86" s="55"/>
      <c r="T86" s="55"/>
      <c r="U86" s="55"/>
      <c r="V86" s="55"/>
      <c r="W86" s="56"/>
    </row>
    <row r="87" spans="1:23">
      <c r="A87" s="55"/>
      <c r="B87" s="55"/>
      <c r="C87" s="55"/>
      <c r="D87" s="55"/>
      <c r="E87" s="55"/>
      <c r="F87" s="55"/>
      <c r="G87" s="55"/>
      <c r="H87" s="55"/>
      <c r="I87" s="55"/>
      <c r="J87" s="55"/>
      <c r="K87" s="55"/>
      <c r="L87" s="55"/>
      <c r="M87" s="55"/>
      <c r="N87" s="55"/>
      <c r="O87" s="55"/>
      <c r="P87" s="55"/>
      <c r="Q87" s="55"/>
      <c r="R87" s="55"/>
      <c r="S87" s="55"/>
      <c r="T87" s="55"/>
      <c r="U87" s="55"/>
      <c r="V87" s="55"/>
      <c r="W87" s="56"/>
    </row>
    <row r="88" spans="1:23">
      <c r="A88" s="55"/>
      <c r="B88" s="55"/>
      <c r="C88" s="55"/>
      <c r="D88" s="55"/>
      <c r="E88" s="55"/>
      <c r="F88" s="55"/>
      <c r="G88" s="55"/>
      <c r="H88" s="55"/>
      <c r="I88" s="55"/>
      <c r="J88" s="55"/>
      <c r="K88" s="55"/>
      <c r="L88" s="55"/>
      <c r="M88" s="55"/>
      <c r="N88" s="55"/>
      <c r="O88" s="55"/>
      <c r="P88" s="55"/>
      <c r="Q88" s="55"/>
      <c r="R88" s="55"/>
      <c r="S88" s="55"/>
      <c r="T88" s="55"/>
      <c r="U88" s="55"/>
      <c r="V88" s="55"/>
      <c r="W88" s="56"/>
    </row>
    <row r="89" spans="1:23">
      <c r="A89" s="55"/>
      <c r="B89" s="55"/>
      <c r="C89" s="55"/>
      <c r="D89" s="55"/>
      <c r="E89" s="55"/>
      <c r="F89" s="55"/>
      <c r="G89" s="55"/>
      <c r="H89" s="55"/>
      <c r="I89" s="55"/>
      <c r="J89" s="55"/>
      <c r="K89" s="55"/>
      <c r="L89" s="55"/>
      <c r="M89" s="55"/>
      <c r="N89" s="55"/>
      <c r="O89" s="55"/>
      <c r="P89" s="55"/>
      <c r="Q89" s="55"/>
      <c r="R89" s="55"/>
      <c r="S89" s="55"/>
      <c r="T89" s="55"/>
      <c r="U89" s="55"/>
      <c r="V89" s="55"/>
      <c r="W89" s="56"/>
    </row>
    <row r="90" spans="1:23">
      <c r="A90" s="55"/>
      <c r="B90" s="55"/>
      <c r="C90" s="55"/>
      <c r="D90" s="55"/>
      <c r="E90" s="55"/>
      <c r="F90" s="55"/>
      <c r="G90" s="55"/>
      <c r="H90" s="55"/>
      <c r="I90" s="55"/>
      <c r="J90" s="55"/>
      <c r="K90" s="55"/>
      <c r="L90" s="55"/>
      <c r="M90" s="55"/>
      <c r="N90" s="55"/>
      <c r="O90" s="55"/>
      <c r="P90" s="55"/>
      <c r="Q90" s="55"/>
      <c r="R90" s="55"/>
      <c r="S90" s="55"/>
      <c r="T90" s="55"/>
      <c r="U90" s="55"/>
      <c r="V90" s="55"/>
      <c r="W90" s="56"/>
    </row>
    <row r="91" spans="1:23">
      <c r="A91" s="55"/>
      <c r="B91" s="55"/>
      <c r="C91" s="55"/>
      <c r="D91" s="55"/>
      <c r="E91" s="55"/>
      <c r="F91" s="55"/>
      <c r="G91" s="55"/>
      <c r="H91" s="55"/>
      <c r="I91" s="55"/>
      <c r="J91" s="55"/>
      <c r="K91" s="55"/>
      <c r="L91" s="55"/>
      <c r="M91" s="55"/>
      <c r="N91" s="55"/>
      <c r="O91" s="55"/>
      <c r="P91" s="55"/>
      <c r="Q91" s="55"/>
      <c r="R91" s="55"/>
      <c r="S91" s="55"/>
      <c r="T91" s="55"/>
      <c r="U91" s="55"/>
      <c r="V91" s="55"/>
      <c r="W91" s="56"/>
    </row>
    <row r="92" spans="1:23">
      <c r="A92" s="55"/>
      <c r="B92" s="55"/>
      <c r="C92" s="55"/>
      <c r="D92" s="55"/>
      <c r="E92" s="55"/>
      <c r="F92" s="55"/>
      <c r="G92" s="55"/>
      <c r="H92" s="55"/>
      <c r="I92" s="55"/>
      <c r="J92" s="55"/>
      <c r="K92" s="55"/>
      <c r="L92" s="55"/>
      <c r="M92" s="55"/>
      <c r="N92" s="55"/>
      <c r="O92" s="55"/>
      <c r="P92" s="55"/>
      <c r="Q92" s="55"/>
      <c r="R92" s="55"/>
      <c r="S92" s="55"/>
      <c r="T92" s="55"/>
      <c r="U92" s="55"/>
      <c r="V92" s="55"/>
      <c r="W92" s="56"/>
    </row>
    <row r="93" spans="1:23">
      <c r="A93" s="55"/>
      <c r="B93" s="55"/>
      <c r="C93" s="55"/>
      <c r="D93" s="55"/>
      <c r="E93" s="55"/>
      <c r="F93" s="55"/>
      <c r="G93" s="55"/>
      <c r="H93" s="55"/>
      <c r="I93" s="55"/>
      <c r="J93" s="55"/>
      <c r="K93" s="55"/>
      <c r="L93" s="55"/>
      <c r="M93" s="55"/>
      <c r="N93" s="55"/>
      <c r="O93" s="55"/>
      <c r="P93" s="55"/>
      <c r="Q93" s="55"/>
      <c r="R93" s="55"/>
      <c r="S93" s="55"/>
      <c r="T93" s="55"/>
      <c r="U93" s="55"/>
      <c r="V93" s="55"/>
      <c r="W93" s="56"/>
    </row>
    <row r="94" spans="1:23">
      <c r="A94" s="55"/>
      <c r="B94" s="55"/>
      <c r="C94" s="55"/>
      <c r="D94" s="55"/>
      <c r="E94" s="55"/>
      <c r="F94" s="55"/>
      <c r="G94" s="55"/>
      <c r="H94" s="55"/>
      <c r="I94" s="55"/>
      <c r="J94" s="55"/>
      <c r="K94" s="55"/>
      <c r="L94" s="55"/>
      <c r="M94" s="55"/>
      <c r="N94" s="55"/>
      <c r="O94" s="55"/>
      <c r="P94" s="55"/>
      <c r="Q94" s="55"/>
      <c r="R94" s="55"/>
      <c r="S94" s="55"/>
      <c r="T94" s="55"/>
      <c r="U94" s="55"/>
      <c r="V94" s="55"/>
      <c r="W94" s="56"/>
    </row>
    <row r="95" spans="1:23">
      <c r="A95" s="55"/>
      <c r="B95" s="55"/>
      <c r="C95" s="55"/>
      <c r="D95" s="55"/>
      <c r="E95" s="55"/>
      <c r="F95" s="55"/>
      <c r="G95" s="55"/>
      <c r="H95" s="55"/>
      <c r="I95" s="55"/>
      <c r="J95" s="55"/>
      <c r="K95" s="55"/>
      <c r="L95" s="55"/>
      <c r="M95" s="55"/>
      <c r="N95" s="55"/>
      <c r="O95" s="55"/>
      <c r="P95" s="55"/>
      <c r="Q95" s="55"/>
      <c r="R95" s="55"/>
      <c r="S95" s="55"/>
      <c r="T95" s="55"/>
      <c r="U95" s="55"/>
      <c r="V95" s="55"/>
      <c r="W95" s="56"/>
    </row>
    <row r="96" spans="1:23">
      <c r="A96" s="55"/>
      <c r="B96" s="55"/>
      <c r="C96" s="55"/>
      <c r="D96" s="55"/>
      <c r="E96" s="55"/>
      <c r="F96" s="55"/>
      <c r="G96" s="55"/>
      <c r="H96" s="55"/>
      <c r="I96" s="55"/>
      <c r="J96" s="55"/>
      <c r="K96" s="55"/>
      <c r="L96" s="55"/>
      <c r="M96" s="55"/>
      <c r="N96" s="55"/>
      <c r="O96" s="55"/>
      <c r="P96" s="55"/>
      <c r="Q96" s="55"/>
      <c r="R96" s="55"/>
      <c r="S96" s="55"/>
      <c r="T96" s="55"/>
      <c r="U96" s="55"/>
      <c r="V96" s="55"/>
      <c r="W96" s="56"/>
    </row>
    <row r="97" spans="1:23">
      <c r="A97" s="55"/>
      <c r="B97" s="55"/>
      <c r="C97" s="55"/>
      <c r="D97" s="55"/>
      <c r="E97" s="55"/>
      <c r="F97" s="55"/>
      <c r="G97" s="55"/>
      <c r="H97" s="55"/>
      <c r="I97" s="55"/>
      <c r="J97" s="55"/>
      <c r="K97" s="55"/>
      <c r="L97" s="55"/>
      <c r="M97" s="55"/>
      <c r="N97" s="55"/>
      <c r="O97" s="55"/>
      <c r="P97" s="55"/>
      <c r="Q97" s="55"/>
      <c r="R97" s="55"/>
      <c r="S97" s="55"/>
      <c r="T97" s="55"/>
      <c r="U97" s="55"/>
      <c r="V97" s="55"/>
      <c r="W97" s="56"/>
    </row>
    <row r="98" spans="1:23">
      <c r="A98" s="55"/>
      <c r="B98" s="55"/>
      <c r="C98" s="55"/>
      <c r="D98" s="55"/>
      <c r="E98" s="55"/>
      <c r="F98" s="55"/>
      <c r="G98" s="55"/>
      <c r="H98" s="55"/>
      <c r="I98" s="55"/>
      <c r="J98" s="55"/>
      <c r="K98" s="55"/>
      <c r="L98" s="55"/>
      <c r="M98" s="55"/>
      <c r="N98" s="55"/>
      <c r="O98" s="55"/>
      <c r="P98" s="55"/>
      <c r="Q98" s="55"/>
      <c r="R98" s="55"/>
      <c r="S98" s="55"/>
      <c r="T98" s="55"/>
      <c r="U98" s="55"/>
      <c r="V98" s="55"/>
      <c r="W98" s="56"/>
    </row>
    <row r="99" spans="1:23">
      <c r="A99" s="55"/>
      <c r="B99" s="55"/>
      <c r="C99" s="55"/>
      <c r="D99" s="55"/>
      <c r="E99" s="55"/>
      <c r="F99" s="55"/>
      <c r="G99" s="55"/>
      <c r="H99" s="55"/>
      <c r="I99" s="55"/>
      <c r="J99" s="55"/>
      <c r="K99" s="55"/>
      <c r="L99" s="55"/>
      <c r="M99" s="55"/>
      <c r="N99" s="55"/>
      <c r="O99" s="55"/>
      <c r="P99" s="55"/>
      <c r="Q99" s="55"/>
      <c r="R99" s="55"/>
      <c r="S99" s="55"/>
      <c r="T99" s="55"/>
      <c r="U99" s="55"/>
      <c r="V99" s="55"/>
      <c r="W99" s="56"/>
    </row>
    <row r="100" spans="1:23">
      <c r="A100" s="55"/>
      <c r="B100" s="55"/>
      <c r="C100" s="55"/>
      <c r="D100" s="55"/>
      <c r="E100" s="55"/>
      <c r="F100" s="55"/>
      <c r="G100" s="55"/>
      <c r="H100" s="55"/>
      <c r="I100" s="55"/>
      <c r="J100" s="55"/>
      <c r="K100" s="55"/>
      <c r="L100" s="55"/>
      <c r="M100" s="55"/>
      <c r="N100" s="55"/>
      <c r="O100" s="55"/>
      <c r="P100" s="55"/>
      <c r="Q100" s="55"/>
      <c r="R100" s="55"/>
      <c r="S100" s="55"/>
      <c r="T100" s="55"/>
      <c r="U100" s="55"/>
      <c r="V100" s="55"/>
      <c r="W100" s="56"/>
    </row>
    <row r="101" spans="1:23">
      <c r="A101" s="55"/>
      <c r="B101" s="55"/>
      <c r="C101" s="55"/>
      <c r="D101" s="55"/>
      <c r="E101" s="55"/>
      <c r="F101" s="55"/>
      <c r="G101" s="55"/>
      <c r="H101" s="55"/>
      <c r="I101" s="55"/>
      <c r="J101" s="55"/>
      <c r="K101" s="55"/>
      <c r="L101" s="55"/>
      <c r="M101" s="55"/>
      <c r="N101" s="55"/>
      <c r="O101" s="55"/>
      <c r="P101" s="55"/>
      <c r="Q101" s="55"/>
      <c r="R101" s="55"/>
      <c r="S101" s="55"/>
      <c r="T101" s="55"/>
      <c r="U101" s="55"/>
      <c r="V101" s="55"/>
      <c r="W101" s="56"/>
    </row>
    <row r="102" spans="1:23">
      <c r="A102" s="55"/>
      <c r="B102" s="55"/>
      <c r="C102" s="55"/>
      <c r="D102" s="55"/>
      <c r="E102" s="55"/>
      <c r="F102" s="55"/>
      <c r="G102" s="55"/>
      <c r="H102" s="55"/>
      <c r="I102" s="55"/>
      <c r="J102" s="55"/>
      <c r="K102" s="55"/>
      <c r="L102" s="55"/>
      <c r="M102" s="55"/>
      <c r="N102" s="55"/>
      <c r="O102" s="55"/>
      <c r="P102" s="55"/>
      <c r="Q102" s="55"/>
      <c r="R102" s="55"/>
      <c r="S102" s="55"/>
      <c r="T102" s="55"/>
      <c r="U102" s="55"/>
      <c r="V102" s="55"/>
      <c r="W102" s="56"/>
    </row>
    <row r="103" spans="1:23">
      <c r="A103" s="55"/>
      <c r="B103" s="55"/>
      <c r="C103" s="55"/>
      <c r="D103" s="55"/>
      <c r="E103" s="55"/>
      <c r="F103" s="55"/>
      <c r="G103" s="55"/>
      <c r="H103" s="55"/>
      <c r="I103" s="55"/>
      <c r="J103" s="55"/>
      <c r="K103" s="55"/>
      <c r="L103" s="55"/>
      <c r="M103" s="55"/>
      <c r="N103" s="55"/>
      <c r="O103" s="55"/>
      <c r="P103" s="55"/>
      <c r="Q103" s="55"/>
      <c r="R103" s="55"/>
      <c r="S103" s="55"/>
      <c r="T103" s="55"/>
      <c r="U103" s="55"/>
      <c r="V103" s="55"/>
      <c r="W103" s="56"/>
    </row>
    <row r="104" spans="1:23">
      <c r="A104" s="55"/>
      <c r="B104" s="55"/>
      <c r="C104" s="55"/>
      <c r="D104" s="55"/>
      <c r="E104" s="55"/>
      <c r="F104" s="55"/>
      <c r="G104" s="55"/>
      <c r="H104" s="55"/>
      <c r="I104" s="55"/>
      <c r="J104" s="55"/>
      <c r="K104" s="55"/>
      <c r="L104" s="55"/>
      <c r="M104" s="55"/>
      <c r="N104" s="55"/>
      <c r="O104" s="55"/>
      <c r="P104" s="55"/>
      <c r="Q104" s="55"/>
      <c r="R104" s="55"/>
      <c r="S104" s="55"/>
      <c r="T104" s="55"/>
      <c r="U104" s="55"/>
      <c r="V104" s="55"/>
      <c r="W104" s="56"/>
    </row>
    <row r="105" spans="1:23">
      <c r="A105" s="55"/>
      <c r="B105" s="55"/>
      <c r="C105" s="55"/>
      <c r="D105" s="55"/>
      <c r="E105" s="55"/>
      <c r="F105" s="55"/>
      <c r="G105" s="55"/>
      <c r="H105" s="55"/>
      <c r="I105" s="55"/>
      <c r="J105" s="55"/>
      <c r="K105" s="55"/>
      <c r="L105" s="55"/>
      <c r="M105" s="55"/>
      <c r="N105" s="55"/>
      <c r="O105" s="55"/>
      <c r="P105" s="55"/>
      <c r="Q105" s="55"/>
      <c r="R105" s="55"/>
      <c r="S105" s="55"/>
      <c r="T105" s="55"/>
      <c r="U105" s="55"/>
      <c r="V105" s="55"/>
      <c r="W105" s="56"/>
    </row>
    <row r="106" spans="1:23">
      <c r="A106" s="55"/>
      <c r="B106" s="55"/>
      <c r="C106" s="55"/>
      <c r="D106" s="55"/>
      <c r="E106" s="55"/>
      <c r="F106" s="55"/>
      <c r="G106" s="55"/>
      <c r="H106" s="55"/>
      <c r="I106" s="55"/>
      <c r="J106" s="55"/>
      <c r="K106" s="55"/>
      <c r="L106" s="55"/>
      <c r="M106" s="55"/>
      <c r="N106" s="55"/>
      <c r="O106" s="55"/>
      <c r="P106" s="55"/>
      <c r="Q106" s="55"/>
      <c r="R106" s="55"/>
      <c r="S106" s="55"/>
      <c r="T106" s="55"/>
      <c r="U106" s="55"/>
      <c r="V106" s="55"/>
      <c r="W106" s="56"/>
    </row>
    <row r="107" spans="1:23">
      <c r="A107" s="55"/>
      <c r="B107" s="55"/>
      <c r="C107" s="55"/>
      <c r="D107" s="55"/>
      <c r="E107" s="55"/>
      <c r="F107" s="55"/>
      <c r="G107" s="55"/>
      <c r="H107" s="55"/>
      <c r="I107" s="55"/>
      <c r="J107" s="55"/>
      <c r="K107" s="55"/>
      <c r="L107" s="55"/>
      <c r="M107" s="55"/>
      <c r="N107" s="55"/>
      <c r="O107" s="55"/>
      <c r="P107" s="55"/>
      <c r="Q107" s="55"/>
      <c r="R107" s="55"/>
      <c r="S107" s="55"/>
      <c r="T107" s="55"/>
      <c r="U107" s="55"/>
      <c r="V107" s="55"/>
      <c r="W107" s="56"/>
    </row>
    <row r="108" spans="1:23">
      <c r="A108" s="55"/>
      <c r="B108" s="55"/>
      <c r="C108" s="55"/>
      <c r="D108" s="55"/>
      <c r="E108" s="55"/>
      <c r="F108" s="55"/>
      <c r="G108" s="55"/>
      <c r="H108" s="55"/>
      <c r="I108" s="55"/>
      <c r="J108" s="55"/>
      <c r="K108" s="55"/>
      <c r="L108" s="55"/>
      <c r="M108" s="55"/>
      <c r="N108" s="55"/>
      <c r="O108" s="55"/>
      <c r="P108" s="55"/>
      <c r="Q108" s="55"/>
      <c r="R108" s="55"/>
      <c r="S108" s="55"/>
      <c r="T108" s="55"/>
      <c r="U108" s="55"/>
      <c r="V108" s="55"/>
      <c r="W108" s="56"/>
    </row>
    <row r="109" spans="1:23">
      <c r="A109" s="55"/>
      <c r="B109" s="55"/>
      <c r="C109" s="55"/>
      <c r="D109" s="55"/>
      <c r="E109" s="55"/>
      <c r="F109" s="55"/>
      <c r="G109" s="55"/>
      <c r="H109" s="55"/>
      <c r="I109" s="55"/>
      <c r="J109" s="55"/>
      <c r="K109" s="55"/>
      <c r="L109" s="55"/>
      <c r="M109" s="55"/>
      <c r="N109" s="55"/>
      <c r="O109" s="55"/>
      <c r="P109" s="55"/>
      <c r="Q109" s="55"/>
      <c r="R109" s="55"/>
      <c r="S109" s="55"/>
      <c r="T109" s="55"/>
      <c r="U109" s="55"/>
      <c r="V109" s="55"/>
      <c r="W109" s="56"/>
    </row>
    <row r="110" spans="1:23">
      <c r="A110" s="55"/>
      <c r="B110" s="55"/>
      <c r="C110" s="55"/>
      <c r="D110" s="55"/>
      <c r="E110" s="55"/>
      <c r="F110" s="55"/>
      <c r="G110" s="55"/>
      <c r="H110" s="55"/>
      <c r="I110" s="55"/>
      <c r="J110" s="55"/>
      <c r="K110" s="55"/>
      <c r="L110" s="55"/>
      <c r="M110" s="55"/>
      <c r="N110" s="55"/>
      <c r="O110" s="55"/>
      <c r="P110" s="55"/>
      <c r="Q110" s="55"/>
      <c r="R110" s="55"/>
      <c r="S110" s="55"/>
      <c r="T110" s="55"/>
      <c r="U110" s="55"/>
      <c r="V110" s="55"/>
      <c r="W110" s="56"/>
    </row>
    <row r="111" spans="1:23">
      <c r="A111" s="55"/>
      <c r="B111" s="55"/>
      <c r="C111" s="55"/>
      <c r="D111" s="55"/>
      <c r="E111" s="55"/>
      <c r="F111" s="55"/>
      <c r="G111" s="55"/>
      <c r="H111" s="55"/>
      <c r="I111" s="55"/>
      <c r="J111" s="55"/>
      <c r="K111" s="55"/>
      <c r="L111" s="55"/>
      <c r="M111" s="55"/>
      <c r="N111" s="55"/>
      <c r="O111" s="55"/>
      <c r="P111" s="55"/>
      <c r="Q111" s="55"/>
      <c r="R111" s="55"/>
      <c r="S111" s="55"/>
      <c r="T111" s="55"/>
      <c r="U111" s="55"/>
      <c r="V111" s="55"/>
      <c r="W111" s="56"/>
    </row>
    <row r="112" spans="1:23">
      <c r="A112" s="55"/>
      <c r="B112" s="55"/>
      <c r="C112" s="55"/>
      <c r="D112" s="55"/>
      <c r="E112" s="55"/>
      <c r="F112" s="55"/>
      <c r="G112" s="55"/>
      <c r="H112" s="55"/>
      <c r="I112" s="55"/>
      <c r="J112" s="55"/>
      <c r="K112" s="55"/>
      <c r="L112" s="55"/>
      <c r="M112" s="55"/>
      <c r="N112" s="55"/>
      <c r="O112" s="55"/>
      <c r="P112" s="55"/>
      <c r="Q112" s="55"/>
      <c r="R112" s="55"/>
      <c r="S112" s="55"/>
      <c r="T112" s="55"/>
      <c r="U112" s="55"/>
      <c r="V112" s="55"/>
      <c r="W112" s="56"/>
    </row>
    <row r="113" spans="1:23">
      <c r="A113" s="55"/>
      <c r="B113" s="55"/>
      <c r="C113" s="55"/>
      <c r="D113" s="55"/>
      <c r="E113" s="55"/>
      <c r="F113" s="55"/>
      <c r="G113" s="55"/>
      <c r="H113" s="55"/>
      <c r="I113" s="55"/>
      <c r="J113" s="55"/>
      <c r="K113" s="55"/>
      <c r="L113" s="55"/>
      <c r="M113" s="55"/>
      <c r="N113" s="55"/>
      <c r="O113" s="55"/>
      <c r="P113" s="55"/>
      <c r="Q113" s="55"/>
      <c r="R113" s="55"/>
      <c r="S113" s="55"/>
      <c r="T113" s="55"/>
      <c r="U113" s="55"/>
      <c r="V113" s="55"/>
      <c r="W113" s="56"/>
    </row>
    <row r="114" spans="1:23">
      <c r="A114" s="55"/>
      <c r="B114" s="55"/>
      <c r="C114" s="55"/>
      <c r="D114" s="55"/>
      <c r="E114" s="55"/>
      <c r="F114" s="55"/>
      <c r="G114" s="55"/>
      <c r="H114" s="55"/>
      <c r="I114" s="55"/>
      <c r="J114" s="55"/>
      <c r="K114" s="55"/>
      <c r="L114" s="55"/>
      <c r="M114" s="55"/>
      <c r="N114" s="55"/>
      <c r="O114" s="55"/>
      <c r="P114" s="55"/>
      <c r="Q114" s="55"/>
      <c r="R114" s="55"/>
      <c r="S114" s="55"/>
      <c r="T114" s="55"/>
      <c r="U114" s="55"/>
      <c r="V114" s="55"/>
      <c r="W114" s="56"/>
    </row>
    <row r="115" spans="1:23">
      <c r="A115" s="55"/>
      <c r="B115" s="55"/>
      <c r="C115" s="55"/>
      <c r="D115" s="55"/>
      <c r="E115" s="55"/>
      <c r="F115" s="55"/>
      <c r="G115" s="55"/>
      <c r="H115" s="55"/>
      <c r="I115" s="55"/>
      <c r="J115" s="55"/>
      <c r="K115" s="55"/>
      <c r="L115" s="55"/>
      <c r="M115" s="55"/>
      <c r="N115" s="55"/>
      <c r="O115" s="55"/>
      <c r="P115" s="55"/>
      <c r="Q115" s="55"/>
      <c r="R115" s="55"/>
      <c r="S115" s="55"/>
      <c r="T115" s="55"/>
      <c r="U115" s="55"/>
      <c r="V115" s="55"/>
      <c r="W115" s="56"/>
    </row>
    <row r="116" spans="1:23">
      <c r="A116" s="55"/>
      <c r="B116" s="55"/>
      <c r="C116" s="55"/>
      <c r="D116" s="55"/>
      <c r="E116" s="55"/>
      <c r="F116" s="55"/>
      <c r="G116" s="55"/>
      <c r="H116" s="55"/>
      <c r="I116" s="55"/>
      <c r="J116" s="55"/>
      <c r="K116" s="55"/>
      <c r="L116" s="55"/>
      <c r="M116" s="55"/>
      <c r="N116" s="55"/>
      <c r="O116" s="55"/>
      <c r="P116" s="55"/>
      <c r="Q116" s="55"/>
      <c r="R116" s="55"/>
      <c r="S116" s="55"/>
      <c r="T116" s="55"/>
      <c r="U116" s="55"/>
      <c r="V116" s="55"/>
      <c r="W116" s="56"/>
    </row>
    <row r="117" spans="1:23">
      <c r="A117" s="55"/>
      <c r="B117" s="55"/>
      <c r="C117" s="55"/>
      <c r="D117" s="55"/>
      <c r="E117" s="55"/>
      <c r="F117" s="55"/>
      <c r="G117" s="55"/>
      <c r="H117" s="55"/>
      <c r="I117" s="55"/>
      <c r="J117" s="55"/>
      <c r="K117" s="55"/>
      <c r="L117" s="55"/>
      <c r="M117" s="55"/>
      <c r="N117" s="55"/>
      <c r="O117" s="55"/>
      <c r="P117" s="55"/>
      <c r="Q117" s="55"/>
      <c r="R117" s="55"/>
      <c r="S117" s="55"/>
      <c r="T117" s="55"/>
      <c r="U117" s="55"/>
      <c r="V117" s="55"/>
      <c r="W117" s="56"/>
    </row>
    <row r="118" spans="1:23">
      <c r="A118" s="55"/>
      <c r="B118" s="55"/>
      <c r="C118" s="55"/>
      <c r="D118" s="55"/>
      <c r="E118" s="55"/>
      <c r="F118" s="55"/>
      <c r="G118" s="55"/>
      <c r="H118" s="55"/>
      <c r="I118" s="55"/>
      <c r="J118" s="55"/>
      <c r="K118" s="55"/>
      <c r="L118" s="55"/>
      <c r="M118" s="55"/>
      <c r="N118" s="55"/>
      <c r="O118" s="55"/>
      <c r="P118" s="55"/>
      <c r="Q118" s="55"/>
      <c r="R118" s="55"/>
      <c r="S118" s="55"/>
      <c r="T118" s="55"/>
      <c r="U118" s="55"/>
      <c r="V118" s="55"/>
      <c r="W118" s="56"/>
    </row>
    <row r="119" spans="1:23">
      <c r="A119" s="55"/>
      <c r="B119" s="55"/>
      <c r="C119" s="55"/>
      <c r="D119" s="55"/>
      <c r="E119" s="55"/>
      <c r="F119" s="55"/>
      <c r="G119" s="55"/>
      <c r="H119" s="55"/>
      <c r="I119" s="55"/>
      <c r="J119" s="55"/>
      <c r="K119" s="55"/>
      <c r="L119" s="55"/>
      <c r="M119" s="55"/>
      <c r="N119" s="55"/>
      <c r="O119" s="55"/>
      <c r="P119" s="55"/>
      <c r="Q119" s="55"/>
      <c r="R119" s="55"/>
      <c r="S119" s="55"/>
      <c r="T119" s="55"/>
      <c r="U119" s="55"/>
      <c r="V119" s="55"/>
      <c r="W119" s="56"/>
    </row>
    <row r="120" spans="1:23">
      <c r="A120" s="55"/>
      <c r="B120" s="55"/>
      <c r="C120" s="55"/>
      <c r="D120" s="55"/>
      <c r="E120" s="55"/>
      <c r="F120" s="55"/>
      <c r="G120" s="55"/>
      <c r="H120" s="55"/>
      <c r="I120" s="55"/>
      <c r="J120" s="55"/>
      <c r="K120" s="55"/>
      <c r="L120" s="55"/>
      <c r="M120" s="55"/>
      <c r="N120" s="55"/>
      <c r="O120" s="55"/>
      <c r="P120" s="55"/>
      <c r="Q120" s="55"/>
      <c r="R120" s="55"/>
      <c r="S120" s="55"/>
      <c r="T120" s="55"/>
      <c r="U120" s="55"/>
      <c r="V120" s="55"/>
      <c r="W120" s="56"/>
    </row>
    <row r="121" spans="1:23">
      <c r="A121" s="55"/>
      <c r="B121" s="55"/>
      <c r="C121" s="55"/>
      <c r="D121" s="55"/>
      <c r="E121" s="55"/>
      <c r="F121" s="55"/>
      <c r="G121" s="55"/>
      <c r="H121" s="55"/>
      <c r="I121" s="55"/>
      <c r="J121" s="55"/>
      <c r="K121" s="55"/>
      <c r="L121" s="55"/>
      <c r="M121" s="55"/>
      <c r="N121" s="55"/>
      <c r="O121" s="55"/>
      <c r="P121" s="55"/>
      <c r="Q121" s="55"/>
      <c r="R121" s="55"/>
      <c r="S121" s="55"/>
      <c r="T121" s="55"/>
      <c r="U121" s="55"/>
      <c r="V121" s="55"/>
      <c r="W121" s="56"/>
    </row>
    <row r="122" spans="1:23">
      <c r="A122" s="55"/>
      <c r="B122" s="55"/>
      <c r="C122" s="55"/>
      <c r="D122" s="55"/>
      <c r="E122" s="55"/>
      <c r="F122" s="55"/>
      <c r="G122" s="55"/>
      <c r="H122" s="55"/>
      <c r="I122" s="55"/>
      <c r="J122" s="55"/>
      <c r="K122" s="55"/>
      <c r="L122" s="55"/>
      <c r="M122" s="55"/>
      <c r="N122" s="55"/>
      <c r="O122" s="55"/>
      <c r="P122" s="55"/>
      <c r="Q122" s="55"/>
      <c r="R122" s="55"/>
      <c r="S122" s="55"/>
      <c r="T122" s="55"/>
      <c r="U122" s="55"/>
      <c r="V122" s="55"/>
      <c r="W122" s="56"/>
    </row>
    <row r="123" spans="1:23">
      <c r="A123" s="55"/>
      <c r="B123" s="55"/>
      <c r="C123" s="55"/>
      <c r="D123" s="55"/>
      <c r="E123" s="55"/>
      <c r="F123" s="55"/>
      <c r="G123" s="55"/>
      <c r="H123" s="55"/>
      <c r="I123" s="55"/>
      <c r="J123" s="55"/>
      <c r="K123" s="55"/>
      <c r="L123" s="55"/>
      <c r="M123" s="55"/>
      <c r="N123" s="55"/>
      <c r="O123" s="55"/>
      <c r="P123" s="55"/>
      <c r="Q123" s="55"/>
      <c r="R123" s="55"/>
      <c r="S123" s="55"/>
      <c r="T123" s="55"/>
      <c r="U123" s="55"/>
      <c r="V123" s="55"/>
      <c r="W123" s="56"/>
    </row>
    <row r="124" spans="1:23">
      <c r="A124" s="55"/>
      <c r="B124" s="55"/>
      <c r="C124" s="55"/>
      <c r="D124" s="55"/>
      <c r="E124" s="55"/>
      <c r="F124" s="55"/>
      <c r="G124" s="55"/>
      <c r="H124" s="55"/>
      <c r="I124" s="55"/>
      <c r="J124" s="55"/>
      <c r="K124" s="55"/>
      <c r="L124" s="55"/>
      <c r="M124" s="55"/>
      <c r="N124" s="55"/>
      <c r="O124" s="55"/>
      <c r="P124" s="55"/>
      <c r="Q124" s="55"/>
      <c r="R124" s="55"/>
      <c r="S124" s="55"/>
      <c r="T124" s="55"/>
      <c r="U124" s="55"/>
      <c r="V124" s="55"/>
      <c r="W124" s="56"/>
    </row>
    <row r="125" spans="1:23">
      <c r="A125" s="55"/>
      <c r="B125" s="55"/>
      <c r="C125" s="55"/>
      <c r="D125" s="55"/>
      <c r="E125" s="55"/>
      <c r="F125" s="55"/>
      <c r="G125" s="55"/>
      <c r="H125" s="55"/>
      <c r="I125" s="55"/>
      <c r="J125" s="55"/>
      <c r="K125" s="55"/>
      <c r="L125" s="55"/>
      <c r="M125" s="55"/>
      <c r="N125" s="55"/>
      <c r="O125" s="55"/>
      <c r="P125" s="55"/>
      <c r="Q125" s="55"/>
      <c r="R125" s="55"/>
      <c r="S125" s="55"/>
      <c r="T125" s="55"/>
      <c r="U125" s="55"/>
      <c r="V125" s="55"/>
      <c r="W125" s="56"/>
    </row>
    <row r="126" spans="1:23">
      <c r="A126" s="55"/>
      <c r="B126" s="55"/>
      <c r="C126" s="55"/>
      <c r="D126" s="55"/>
      <c r="E126" s="55"/>
      <c r="F126" s="55"/>
      <c r="G126" s="55"/>
      <c r="H126" s="55"/>
      <c r="I126" s="55"/>
      <c r="J126" s="55"/>
      <c r="K126" s="55"/>
      <c r="L126" s="55"/>
      <c r="M126" s="55"/>
      <c r="N126" s="55"/>
      <c r="O126" s="55"/>
      <c r="P126" s="55"/>
      <c r="Q126" s="55"/>
      <c r="R126" s="55"/>
      <c r="S126" s="55"/>
      <c r="T126" s="55"/>
      <c r="U126" s="55"/>
      <c r="V126" s="55"/>
      <c r="W126" s="56"/>
    </row>
    <row r="127" spans="1:23">
      <c r="A127" s="55"/>
      <c r="B127" s="55"/>
      <c r="C127" s="55"/>
      <c r="D127" s="55"/>
      <c r="E127" s="55"/>
      <c r="F127" s="55"/>
      <c r="G127" s="55"/>
      <c r="H127" s="55"/>
      <c r="I127" s="55"/>
      <c r="J127" s="55"/>
      <c r="K127" s="55"/>
      <c r="L127" s="55"/>
      <c r="M127" s="55"/>
      <c r="N127" s="55"/>
      <c r="O127" s="55"/>
      <c r="P127" s="55"/>
      <c r="Q127" s="55"/>
      <c r="R127" s="55"/>
      <c r="S127" s="55"/>
      <c r="T127" s="55"/>
      <c r="U127" s="55"/>
      <c r="V127" s="55"/>
      <c r="W127" s="56"/>
    </row>
    <row r="128" spans="1:23">
      <c r="A128" s="55"/>
      <c r="B128" s="55"/>
      <c r="C128" s="55"/>
      <c r="D128" s="55"/>
      <c r="E128" s="55"/>
      <c r="F128" s="55"/>
      <c r="G128" s="55"/>
      <c r="H128" s="55"/>
      <c r="I128" s="55"/>
      <c r="J128" s="55"/>
      <c r="K128" s="55"/>
      <c r="L128" s="55"/>
      <c r="M128" s="55"/>
      <c r="N128" s="55"/>
      <c r="O128" s="55"/>
      <c r="P128" s="55"/>
      <c r="Q128" s="55"/>
      <c r="R128" s="55"/>
      <c r="S128" s="55"/>
      <c r="T128" s="55"/>
      <c r="U128" s="55"/>
      <c r="V128" s="55"/>
      <c r="W128" s="56"/>
    </row>
    <row r="129" spans="1:23">
      <c r="A129" s="55"/>
      <c r="B129" s="55"/>
      <c r="C129" s="55"/>
      <c r="D129" s="55"/>
      <c r="E129" s="55"/>
      <c r="F129" s="55"/>
      <c r="G129" s="55"/>
      <c r="H129" s="55"/>
      <c r="I129" s="55"/>
      <c r="J129" s="55"/>
      <c r="K129" s="55"/>
      <c r="L129" s="55"/>
      <c r="M129" s="55"/>
      <c r="N129" s="55"/>
      <c r="O129" s="55"/>
      <c r="P129" s="55"/>
      <c r="Q129" s="55"/>
      <c r="R129" s="55"/>
      <c r="S129" s="55"/>
      <c r="T129" s="55"/>
      <c r="U129" s="55"/>
      <c r="V129" s="55"/>
      <c r="W129" s="56"/>
    </row>
    <row r="130" spans="1:23">
      <c r="A130" s="55"/>
      <c r="B130" s="55"/>
      <c r="C130" s="55"/>
      <c r="D130" s="55"/>
      <c r="E130" s="55"/>
      <c r="F130" s="55"/>
      <c r="G130" s="55"/>
      <c r="H130" s="55"/>
      <c r="I130" s="55"/>
      <c r="J130" s="55"/>
      <c r="K130" s="55"/>
      <c r="L130" s="55"/>
      <c r="M130" s="55"/>
      <c r="N130" s="55"/>
      <c r="O130" s="55"/>
      <c r="P130" s="55"/>
      <c r="Q130" s="55"/>
      <c r="R130" s="55"/>
      <c r="S130" s="55"/>
      <c r="T130" s="55"/>
      <c r="U130" s="55"/>
      <c r="V130" s="55"/>
      <c r="W130" s="56"/>
    </row>
    <row r="131" spans="1:23">
      <c r="A131" s="55"/>
      <c r="B131" s="55"/>
      <c r="C131" s="55"/>
      <c r="D131" s="55"/>
      <c r="E131" s="55"/>
      <c r="F131" s="55"/>
      <c r="G131" s="55"/>
      <c r="H131" s="55"/>
      <c r="I131" s="55"/>
      <c r="J131" s="55"/>
      <c r="K131" s="55"/>
      <c r="L131" s="55"/>
      <c r="M131" s="55"/>
      <c r="N131" s="55"/>
      <c r="O131" s="55"/>
      <c r="P131" s="55"/>
      <c r="Q131" s="55"/>
      <c r="R131" s="55"/>
      <c r="S131" s="55"/>
      <c r="T131" s="55"/>
      <c r="U131" s="55"/>
      <c r="V131" s="55"/>
      <c r="W131" s="56"/>
    </row>
    <row r="132" spans="1:23">
      <c r="A132" s="55"/>
      <c r="B132" s="55"/>
      <c r="C132" s="55"/>
      <c r="D132" s="55"/>
      <c r="E132" s="55"/>
      <c r="F132" s="55"/>
      <c r="G132" s="55"/>
      <c r="H132" s="55"/>
      <c r="I132" s="55"/>
      <c r="J132" s="55"/>
      <c r="K132" s="55"/>
      <c r="L132" s="55"/>
      <c r="M132" s="55"/>
      <c r="N132" s="55"/>
      <c r="O132" s="55"/>
      <c r="P132" s="55"/>
      <c r="Q132" s="55"/>
      <c r="R132" s="55"/>
      <c r="S132" s="55"/>
      <c r="T132" s="55"/>
      <c r="U132" s="55"/>
      <c r="V132" s="55"/>
      <c r="W132" s="56"/>
    </row>
    <row r="133" spans="1:23">
      <c r="A133" s="55"/>
      <c r="B133" s="55"/>
      <c r="C133" s="55"/>
      <c r="D133" s="55"/>
      <c r="E133" s="55"/>
      <c r="F133" s="55"/>
      <c r="G133" s="55"/>
      <c r="H133" s="55"/>
      <c r="I133" s="55"/>
      <c r="J133" s="55"/>
      <c r="K133" s="55"/>
      <c r="L133" s="55"/>
      <c r="M133" s="55"/>
      <c r="N133" s="55"/>
      <c r="O133" s="55"/>
      <c r="P133" s="55"/>
      <c r="Q133" s="55"/>
      <c r="R133" s="55"/>
      <c r="S133" s="55"/>
      <c r="T133" s="55"/>
      <c r="U133" s="55"/>
      <c r="V133" s="55"/>
      <c r="W133" s="56"/>
    </row>
    <row r="134" spans="1:23">
      <c r="A134" s="55"/>
      <c r="B134" s="55"/>
      <c r="C134" s="55"/>
      <c r="D134" s="55"/>
      <c r="E134" s="55"/>
      <c r="F134" s="55"/>
      <c r="G134" s="55"/>
      <c r="H134" s="55"/>
      <c r="I134" s="55"/>
      <c r="J134" s="55"/>
      <c r="K134" s="55"/>
      <c r="L134" s="55"/>
      <c r="M134" s="55"/>
      <c r="N134" s="55"/>
      <c r="O134" s="55"/>
      <c r="P134" s="55"/>
      <c r="Q134" s="55"/>
      <c r="R134" s="55"/>
      <c r="S134" s="55"/>
      <c r="T134" s="55"/>
      <c r="U134" s="55"/>
      <c r="V134" s="55"/>
      <c r="W134" s="56"/>
    </row>
    <row r="135" spans="1:23">
      <c r="A135" s="55"/>
      <c r="B135" s="55"/>
      <c r="C135" s="55"/>
      <c r="D135" s="55"/>
      <c r="E135" s="55"/>
      <c r="F135" s="55"/>
      <c r="G135" s="55"/>
      <c r="H135" s="55"/>
      <c r="I135" s="55"/>
      <c r="J135" s="55"/>
      <c r="K135" s="55"/>
      <c r="L135" s="55"/>
      <c r="M135" s="55"/>
      <c r="N135" s="55"/>
      <c r="O135" s="55"/>
      <c r="P135" s="55"/>
      <c r="Q135" s="55"/>
      <c r="R135" s="55"/>
      <c r="S135" s="55"/>
      <c r="T135" s="55"/>
      <c r="U135" s="55"/>
      <c r="V135" s="55"/>
      <c r="W135" s="56"/>
    </row>
    <row r="136" spans="1:23">
      <c r="A136" s="55"/>
      <c r="B136" s="55"/>
      <c r="C136" s="55"/>
      <c r="D136" s="55"/>
      <c r="E136" s="55"/>
      <c r="F136" s="55"/>
      <c r="G136" s="55"/>
      <c r="H136" s="55"/>
      <c r="I136" s="55"/>
      <c r="J136" s="55"/>
      <c r="K136" s="55"/>
      <c r="L136" s="55"/>
      <c r="M136" s="55"/>
      <c r="N136" s="55"/>
      <c r="O136" s="55"/>
      <c r="P136" s="55"/>
      <c r="Q136" s="55"/>
      <c r="R136" s="55"/>
      <c r="S136" s="55"/>
      <c r="T136" s="55"/>
      <c r="U136" s="55"/>
      <c r="V136" s="55"/>
      <c r="W136" s="56"/>
    </row>
    <row r="137" spans="1:23">
      <c r="A137" s="55"/>
      <c r="B137" s="55"/>
      <c r="C137" s="55"/>
      <c r="D137" s="55"/>
      <c r="E137" s="55"/>
      <c r="F137" s="55"/>
      <c r="G137" s="55"/>
      <c r="H137" s="55"/>
      <c r="I137" s="55"/>
      <c r="J137" s="55"/>
      <c r="K137" s="55"/>
      <c r="L137" s="55"/>
      <c r="M137" s="55"/>
      <c r="N137" s="55"/>
      <c r="O137" s="55"/>
      <c r="P137" s="55"/>
      <c r="Q137" s="55"/>
      <c r="R137" s="55"/>
      <c r="S137" s="55"/>
      <c r="T137" s="55"/>
      <c r="U137" s="55"/>
      <c r="V137" s="55"/>
      <c r="W137" s="56"/>
    </row>
    <row r="138" spans="1:23">
      <c r="A138" s="55"/>
      <c r="B138" s="55"/>
      <c r="C138" s="55"/>
      <c r="D138" s="55"/>
      <c r="E138" s="55"/>
      <c r="F138" s="55"/>
      <c r="G138" s="55"/>
      <c r="H138" s="55"/>
      <c r="I138" s="55"/>
      <c r="J138" s="55"/>
      <c r="K138" s="55"/>
      <c r="L138" s="55"/>
      <c r="M138" s="55"/>
      <c r="N138" s="55"/>
      <c r="O138" s="55"/>
      <c r="P138" s="55"/>
      <c r="Q138" s="55"/>
      <c r="R138" s="55"/>
      <c r="S138" s="55"/>
      <c r="T138" s="55"/>
      <c r="U138" s="55"/>
      <c r="V138" s="55"/>
      <c r="W138" s="56"/>
    </row>
    <row r="139" spans="1:23">
      <c r="A139" s="55"/>
      <c r="B139" s="55"/>
      <c r="C139" s="55"/>
      <c r="D139" s="55"/>
      <c r="E139" s="55"/>
      <c r="F139" s="55"/>
      <c r="G139" s="55"/>
      <c r="H139" s="55"/>
      <c r="I139" s="55"/>
      <c r="J139" s="55"/>
      <c r="K139" s="55"/>
      <c r="L139" s="55"/>
      <c r="M139" s="55"/>
      <c r="N139" s="55"/>
      <c r="O139" s="55"/>
      <c r="P139" s="55"/>
      <c r="Q139" s="55"/>
      <c r="R139" s="55"/>
      <c r="S139" s="55"/>
      <c r="T139" s="55"/>
      <c r="U139" s="55"/>
      <c r="V139" s="55"/>
      <c r="W139" s="56"/>
    </row>
    <row r="140" spans="1:23">
      <c r="A140" s="55"/>
      <c r="B140" s="55"/>
      <c r="C140" s="55"/>
      <c r="D140" s="55"/>
      <c r="E140" s="55"/>
      <c r="F140" s="55"/>
      <c r="G140" s="55"/>
      <c r="H140" s="55"/>
      <c r="I140" s="55"/>
      <c r="J140" s="55"/>
      <c r="K140" s="55"/>
      <c r="L140" s="55"/>
      <c r="M140" s="55"/>
      <c r="N140" s="55"/>
      <c r="O140" s="55"/>
      <c r="P140" s="55"/>
      <c r="Q140" s="55"/>
      <c r="R140" s="55"/>
      <c r="S140" s="55"/>
      <c r="T140" s="55"/>
      <c r="U140" s="55"/>
      <c r="V140" s="55"/>
      <c r="W140" s="56"/>
    </row>
    <row r="141" spans="1:23">
      <c r="A141" s="55"/>
      <c r="B141" s="55"/>
      <c r="C141" s="55"/>
      <c r="D141" s="55"/>
      <c r="E141" s="55"/>
      <c r="F141" s="55"/>
      <c r="G141" s="55"/>
      <c r="H141" s="55"/>
      <c r="I141" s="55"/>
      <c r="J141" s="55"/>
      <c r="K141" s="55"/>
      <c r="L141" s="55"/>
      <c r="M141" s="55"/>
      <c r="N141" s="55"/>
      <c r="O141" s="55"/>
      <c r="P141" s="55"/>
      <c r="Q141" s="55"/>
      <c r="R141" s="55"/>
      <c r="S141" s="55"/>
      <c r="T141" s="55"/>
      <c r="U141" s="55"/>
      <c r="V141" s="55"/>
      <c r="W141" s="56"/>
    </row>
    <row r="142" spans="1:23">
      <c r="A142" s="55"/>
      <c r="B142" s="55"/>
      <c r="C142" s="55"/>
      <c r="D142" s="55"/>
      <c r="E142" s="55"/>
      <c r="F142" s="55"/>
      <c r="G142" s="55"/>
      <c r="H142" s="55"/>
      <c r="I142" s="55"/>
      <c r="J142" s="55"/>
      <c r="K142" s="55"/>
      <c r="L142" s="55"/>
      <c r="M142" s="55"/>
      <c r="N142" s="55"/>
      <c r="O142" s="55"/>
      <c r="P142" s="55"/>
      <c r="Q142" s="55"/>
      <c r="R142" s="55"/>
      <c r="S142" s="55"/>
      <c r="T142" s="55"/>
      <c r="U142" s="55"/>
      <c r="V142" s="55"/>
      <c r="W142" s="56"/>
    </row>
    <row r="143" spans="1:23">
      <c r="A143" s="55"/>
      <c r="B143" s="55"/>
      <c r="C143" s="55"/>
      <c r="D143" s="55"/>
      <c r="E143" s="55"/>
      <c r="F143" s="55"/>
      <c r="G143" s="55"/>
      <c r="H143" s="55"/>
      <c r="I143" s="55"/>
      <c r="J143" s="55"/>
      <c r="K143" s="55"/>
      <c r="L143" s="55"/>
      <c r="M143" s="55"/>
      <c r="N143" s="55"/>
      <c r="O143" s="55"/>
      <c r="P143" s="55"/>
      <c r="Q143" s="55"/>
      <c r="R143" s="55"/>
      <c r="S143" s="55"/>
      <c r="T143" s="55"/>
      <c r="U143" s="55"/>
      <c r="V143" s="55"/>
      <c r="W143" s="56"/>
    </row>
    <row r="144" spans="1:23">
      <c r="A144" s="55"/>
      <c r="B144" s="55"/>
      <c r="C144" s="55"/>
      <c r="D144" s="55"/>
      <c r="E144" s="55"/>
      <c r="F144" s="55"/>
      <c r="G144" s="55"/>
      <c r="H144" s="55"/>
      <c r="I144" s="55"/>
      <c r="J144" s="55"/>
      <c r="K144" s="55"/>
      <c r="L144" s="55"/>
      <c r="M144" s="55"/>
      <c r="N144" s="55"/>
      <c r="O144" s="55"/>
      <c r="P144" s="55"/>
      <c r="Q144" s="55"/>
      <c r="R144" s="55"/>
      <c r="S144" s="55"/>
      <c r="T144" s="55"/>
      <c r="U144" s="55"/>
      <c r="V144" s="55"/>
      <c r="W144" s="56"/>
    </row>
    <row r="145" spans="1:23">
      <c r="A145" s="55"/>
      <c r="B145" s="55"/>
      <c r="C145" s="55"/>
      <c r="D145" s="55"/>
      <c r="E145" s="55"/>
      <c r="F145" s="55"/>
      <c r="G145" s="55"/>
      <c r="H145" s="55"/>
      <c r="I145" s="55"/>
      <c r="J145" s="55"/>
      <c r="K145" s="55"/>
      <c r="L145" s="55"/>
      <c r="M145" s="55"/>
      <c r="N145" s="55"/>
      <c r="O145" s="55"/>
      <c r="P145" s="55"/>
      <c r="Q145" s="55"/>
      <c r="R145" s="55"/>
      <c r="S145" s="55"/>
      <c r="T145" s="55"/>
      <c r="U145" s="55"/>
      <c r="V145" s="55"/>
      <c r="W145" s="56"/>
    </row>
    <row r="146" spans="1:23">
      <c r="A146" s="55"/>
      <c r="B146" s="55"/>
      <c r="C146" s="55"/>
      <c r="D146" s="55"/>
      <c r="E146" s="55"/>
      <c r="F146" s="55"/>
      <c r="G146" s="55"/>
      <c r="H146" s="55"/>
      <c r="I146" s="55"/>
      <c r="J146" s="55"/>
      <c r="K146" s="55"/>
      <c r="L146" s="55"/>
      <c r="M146" s="55"/>
      <c r="N146" s="55"/>
      <c r="O146" s="55"/>
      <c r="P146" s="55"/>
      <c r="Q146" s="55"/>
      <c r="R146" s="55"/>
      <c r="S146" s="55"/>
      <c r="T146" s="55"/>
      <c r="U146" s="55"/>
      <c r="V146" s="55"/>
      <c r="W146" s="56"/>
    </row>
    <row r="147" spans="1:23">
      <c r="A147" s="55"/>
      <c r="B147" s="55"/>
      <c r="C147" s="55"/>
      <c r="D147" s="55"/>
      <c r="E147" s="55"/>
      <c r="F147" s="55"/>
      <c r="G147" s="55"/>
      <c r="H147" s="55"/>
      <c r="I147" s="55"/>
      <c r="J147" s="55"/>
      <c r="K147" s="55"/>
      <c r="L147" s="55"/>
      <c r="M147" s="55"/>
      <c r="N147" s="55"/>
      <c r="O147" s="55"/>
      <c r="P147" s="55"/>
      <c r="Q147" s="55"/>
      <c r="R147" s="55"/>
      <c r="S147" s="55"/>
      <c r="T147" s="55"/>
      <c r="U147" s="55"/>
      <c r="V147" s="55"/>
      <c r="W147" s="56"/>
    </row>
    <row r="148" spans="1:23">
      <c r="A148" s="55"/>
      <c r="B148" s="55"/>
      <c r="C148" s="55"/>
      <c r="D148" s="55"/>
      <c r="E148" s="55"/>
      <c r="F148" s="55"/>
      <c r="G148" s="55"/>
      <c r="H148" s="55"/>
      <c r="I148" s="55"/>
      <c r="J148" s="55"/>
      <c r="K148" s="55"/>
      <c r="L148" s="55"/>
      <c r="M148" s="55"/>
      <c r="N148" s="55"/>
      <c r="O148" s="55"/>
      <c r="P148" s="55"/>
      <c r="Q148" s="55"/>
      <c r="R148" s="55"/>
      <c r="S148" s="55"/>
      <c r="T148" s="55"/>
      <c r="U148" s="55"/>
      <c r="V148" s="55"/>
      <c r="W148" s="56"/>
    </row>
    <row r="149" spans="1:23">
      <c r="A149" s="55"/>
      <c r="B149" s="55"/>
      <c r="C149" s="55"/>
      <c r="D149" s="55"/>
      <c r="E149" s="55"/>
      <c r="F149" s="55"/>
      <c r="G149" s="55"/>
      <c r="H149" s="55"/>
      <c r="I149" s="55"/>
      <c r="J149" s="55"/>
      <c r="K149" s="55"/>
      <c r="L149" s="55"/>
      <c r="M149" s="55"/>
      <c r="N149" s="55"/>
      <c r="O149" s="55"/>
      <c r="P149" s="55"/>
      <c r="Q149" s="55"/>
      <c r="R149" s="55"/>
      <c r="S149" s="55"/>
      <c r="T149" s="55"/>
      <c r="U149" s="55"/>
      <c r="V149" s="55"/>
      <c r="W149" s="56"/>
    </row>
    <row r="150" spans="1:23">
      <c r="A150" s="55"/>
      <c r="B150" s="55"/>
      <c r="C150" s="55"/>
      <c r="D150" s="55"/>
      <c r="E150" s="55"/>
      <c r="F150" s="55"/>
      <c r="G150" s="55"/>
      <c r="H150" s="55"/>
      <c r="I150" s="55"/>
      <c r="J150" s="55"/>
      <c r="K150" s="55"/>
      <c r="L150" s="55"/>
      <c r="M150" s="55"/>
      <c r="N150" s="55"/>
      <c r="O150" s="55"/>
      <c r="P150" s="55"/>
      <c r="Q150" s="55"/>
      <c r="R150" s="55"/>
      <c r="S150" s="55"/>
      <c r="T150" s="55"/>
      <c r="U150" s="55"/>
      <c r="V150" s="55"/>
      <c r="W150" s="56"/>
    </row>
    <row r="151" spans="1:23">
      <c r="A151" s="55"/>
      <c r="B151" s="55"/>
      <c r="C151" s="55"/>
      <c r="D151" s="55"/>
      <c r="E151" s="55"/>
      <c r="F151" s="55"/>
      <c r="G151" s="55"/>
      <c r="H151" s="55"/>
      <c r="I151" s="55"/>
      <c r="J151" s="55"/>
      <c r="K151" s="55"/>
      <c r="L151" s="55"/>
      <c r="M151" s="55"/>
      <c r="N151" s="55"/>
      <c r="O151" s="55"/>
      <c r="P151" s="55"/>
      <c r="Q151" s="55"/>
      <c r="R151" s="55"/>
      <c r="S151" s="55"/>
      <c r="T151" s="55"/>
      <c r="U151" s="55"/>
      <c r="V151" s="55"/>
      <c r="W151" s="56"/>
    </row>
    <row r="152" spans="1:23">
      <c r="A152" s="55"/>
      <c r="B152" s="55"/>
      <c r="C152" s="55"/>
      <c r="D152" s="55"/>
      <c r="E152" s="55"/>
      <c r="F152" s="55"/>
      <c r="G152" s="55"/>
      <c r="H152" s="55"/>
      <c r="I152" s="55"/>
      <c r="J152" s="55"/>
      <c r="K152" s="55"/>
      <c r="L152" s="55"/>
      <c r="M152" s="55"/>
      <c r="N152" s="55"/>
      <c r="O152" s="55"/>
      <c r="P152" s="55"/>
      <c r="Q152" s="55"/>
      <c r="R152" s="55"/>
      <c r="S152" s="55"/>
      <c r="T152" s="55"/>
      <c r="U152" s="55"/>
      <c r="V152" s="55"/>
      <c r="W152" s="56"/>
    </row>
    <row r="153" spans="1:23">
      <c r="A153" s="55"/>
      <c r="B153" s="55"/>
      <c r="C153" s="55"/>
      <c r="D153" s="55"/>
      <c r="E153" s="55"/>
      <c r="F153" s="55"/>
      <c r="G153" s="55"/>
      <c r="H153" s="55"/>
      <c r="I153" s="55"/>
      <c r="J153" s="55"/>
      <c r="K153" s="55"/>
      <c r="L153" s="55"/>
      <c r="M153" s="55"/>
      <c r="N153" s="55"/>
      <c r="O153" s="55"/>
      <c r="P153" s="55"/>
      <c r="Q153" s="55"/>
      <c r="R153" s="55"/>
      <c r="S153" s="55"/>
      <c r="T153" s="55"/>
      <c r="U153" s="55"/>
      <c r="V153" s="55"/>
      <c r="W153" s="56"/>
    </row>
    <row r="154" spans="1:23">
      <c r="A154" s="55"/>
      <c r="B154" s="55"/>
      <c r="C154" s="55"/>
      <c r="D154" s="55"/>
      <c r="E154" s="55"/>
      <c r="F154" s="55"/>
      <c r="G154" s="55"/>
      <c r="H154" s="55"/>
      <c r="I154" s="55"/>
      <c r="J154" s="55"/>
      <c r="K154" s="55"/>
      <c r="L154" s="55"/>
      <c r="M154" s="55"/>
      <c r="N154" s="55"/>
      <c r="O154" s="55"/>
      <c r="P154" s="55"/>
      <c r="Q154" s="55"/>
      <c r="R154" s="55"/>
      <c r="S154" s="55"/>
      <c r="T154" s="55"/>
      <c r="U154" s="55"/>
      <c r="V154" s="55"/>
      <c r="W154" s="56"/>
    </row>
    <row r="155" spans="1:23">
      <c r="A155" s="55"/>
      <c r="B155" s="55"/>
      <c r="C155" s="55"/>
      <c r="D155" s="55"/>
      <c r="E155" s="55"/>
      <c r="F155" s="55"/>
      <c r="G155" s="55"/>
      <c r="H155" s="55"/>
      <c r="I155" s="55"/>
      <c r="J155" s="55"/>
      <c r="K155" s="55"/>
      <c r="L155" s="55"/>
      <c r="M155" s="55"/>
      <c r="N155" s="55"/>
      <c r="O155" s="55"/>
      <c r="P155" s="55"/>
      <c r="Q155" s="55"/>
      <c r="R155" s="55"/>
      <c r="S155" s="55"/>
      <c r="T155" s="55"/>
      <c r="U155" s="55"/>
      <c r="V155" s="55"/>
      <c r="W155" s="56"/>
    </row>
    <row r="156" spans="1:23">
      <c r="A156" s="55"/>
      <c r="B156" s="55"/>
      <c r="C156" s="55"/>
      <c r="D156" s="55"/>
      <c r="E156" s="55"/>
      <c r="F156" s="55"/>
      <c r="G156" s="55"/>
      <c r="H156" s="55"/>
      <c r="I156" s="55"/>
      <c r="J156" s="55"/>
      <c r="K156" s="55"/>
      <c r="L156" s="55"/>
      <c r="M156" s="55"/>
      <c r="N156" s="55"/>
      <c r="O156" s="55"/>
      <c r="P156" s="55"/>
      <c r="Q156" s="55"/>
      <c r="R156" s="55"/>
      <c r="S156" s="55"/>
      <c r="T156" s="55"/>
      <c r="U156" s="55"/>
      <c r="V156" s="55"/>
      <c r="W156" s="56"/>
    </row>
    <row r="157" spans="1:23">
      <c r="A157" s="55"/>
      <c r="B157" s="55"/>
      <c r="C157" s="55"/>
      <c r="D157" s="55"/>
      <c r="E157" s="55"/>
      <c r="F157" s="55"/>
      <c r="G157" s="55"/>
      <c r="H157" s="55"/>
      <c r="I157" s="55"/>
      <c r="J157" s="55"/>
      <c r="K157" s="55"/>
      <c r="L157" s="55"/>
      <c r="M157" s="55"/>
      <c r="N157" s="55"/>
      <c r="O157" s="55"/>
      <c r="P157" s="55"/>
      <c r="Q157" s="55"/>
      <c r="R157" s="55"/>
      <c r="S157" s="55"/>
      <c r="T157" s="55"/>
      <c r="U157" s="55"/>
      <c r="V157" s="55"/>
      <c r="W157" s="56"/>
    </row>
    <row r="158" spans="1:23">
      <c r="A158" s="55"/>
      <c r="B158" s="55"/>
      <c r="C158" s="55"/>
      <c r="D158" s="55"/>
      <c r="E158" s="55"/>
      <c r="F158" s="55"/>
      <c r="G158" s="55"/>
      <c r="H158" s="55"/>
      <c r="I158" s="55"/>
      <c r="J158" s="55"/>
      <c r="K158" s="55"/>
      <c r="L158" s="55"/>
      <c r="M158" s="55"/>
      <c r="N158" s="55"/>
      <c r="O158" s="55"/>
      <c r="P158" s="55"/>
      <c r="Q158" s="55"/>
      <c r="R158" s="55"/>
      <c r="S158" s="55"/>
      <c r="T158" s="55"/>
      <c r="U158" s="55"/>
      <c r="V158" s="55"/>
      <c r="W158" s="56"/>
    </row>
    <row r="159" spans="1:23">
      <c r="A159" s="55"/>
      <c r="B159" s="55"/>
      <c r="C159" s="55"/>
      <c r="D159" s="55"/>
      <c r="E159" s="55"/>
      <c r="F159" s="55"/>
      <c r="G159" s="55"/>
      <c r="H159" s="55"/>
      <c r="I159" s="55"/>
      <c r="J159" s="55"/>
      <c r="K159" s="55"/>
      <c r="L159" s="55"/>
      <c r="M159" s="55"/>
      <c r="N159" s="55"/>
      <c r="O159" s="55"/>
      <c r="P159" s="55"/>
      <c r="Q159" s="55"/>
      <c r="R159" s="55"/>
      <c r="S159" s="55"/>
      <c r="T159" s="55"/>
      <c r="U159" s="55"/>
      <c r="V159" s="55"/>
      <c r="W159" s="56"/>
    </row>
    <row r="160" spans="1:23">
      <c r="A160" s="55"/>
      <c r="B160" s="55"/>
      <c r="C160" s="55"/>
      <c r="D160" s="55"/>
      <c r="E160" s="55"/>
      <c r="F160" s="55"/>
      <c r="G160" s="55"/>
      <c r="H160" s="55"/>
      <c r="I160" s="55"/>
      <c r="J160" s="55"/>
      <c r="K160" s="55"/>
      <c r="L160" s="55"/>
      <c r="M160" s="55"/>
      <c r="N160" s="55"/>
      <c r="O160" s="55"/>
      <c r="P160" s="55"/>
      <c r="Q160" s="55"/>
      <c r="R160" s="55"/>
      <c r="S160" s="55"/>
      <c r="T160" s="55"/>
      <c r="U160" s="55"/>
      <c r="V160" s="55"/>
      <c r="W160" s="56"/>
    </row>
    <row r="161" spans="1:23">
      <c r="A161" s="55"/>
      <c r="B161" s="55"/>
      <c r="C161" s="55"/>
      <c r="D161" s="55"/>
      <c r="E161" s="55"/>
      <c r="F161" s="55"/>
      <c r="G161" s="55"/>
      <c r="H161" s="55"/>
      <c r="I161" s="55"/>
      <c r="J161" s="55"/>
      <c r="K161" s="55"/>
      <c r="L161" s="55"/>
      <c r="M161" s="55"/>
      <c r="N161" s="55"/>
      <c r="O161" s="55"/>
      <c r="P161" s="55"/>
      <c r="Q161" s="55"/>
      <c r="R161" s="55"/>
      <c r="S161" s="55"/>
      <c r="T161" s="55"/>
      <c r="U161" s="55"/>
      <c r="V161" s="55"/>
      <c r="W161" s="56"/>
    </row>
    <row r="162" spans="1:23">
      <c r="A162" s="55"/>
      <c r="B162" s="55"/>
      <c r="C162" s="55"/>
      <c r="D162" s="55"/>
      <c r="E162" s="55"/>
      <c r="F162" s="55"/>
      <c r="G162" s="55"/>
      <c r="H162" s="55"/>
      <c r="I162" s="55"/>
      <c r="J162" s="55"/>
      <c r="K162" s="55"/>
      <c r="L162" s="55"/>
      <c r="M162" s="55"/>
      <c r="N162" s="55"/>
      <c r="O162" s="55"/>
      <c r="P162" s="55"/>
      <c r="Q162" s="55"/>
      <c r="R162" s="55"/>
      <c r="S162" s="55"/>
      <c r="T162" s="55"/>
      <c r="U162" s="55"/>
      <c r="V162" s="55"/>
      <c r="W162" s="56"/>
    </row>
    <row r="163" spans="1:23">
      <c r="A163" s="55"/>
      <c r="B163" s="56"/>
      <c r="C163" s="56"/>
      <c r="D163" s="56"/>
      <c r="E163" s="56"/>
      <c r="F163" s="56"/>
      <c r="G163" s="56"/>
      <c r="H163" s="56"/>
      <c r="I163" s="56"/>
      <c r="J163" s="56"/>
      <c r="K163" s="56"/>
      <c r="L163" s="56"/>
      <c r="M163" s="55"/>
      <c r="N163" s="55"/>
      <c r="O163" s="55"/>
      <c r="P163" s="55"/>
      <c r="Q163" s="55"/>
      <c r="R163" s="55"/>
      <c r="S163" s="55"/>
      <c r="T163" s="55"/>
      <c r="U163" s="55"/>
      <c r="V163" s="55"/>
      <c r="W163" s="56"/>
    </row>
    <row r="164" spans="1:23">
      <c r="A164" s="55"/>
      <c r="B164" s="56"/>
      <c r="C164" s="56"/>
      <c r="D164" s="56"/>
      <c r="E164" s="56"/>
      <c r="F164" s="56"/>
      <c r="G164" s="56"/>
      <c r="H164" s="56"/>
      <c r="I164" s="56"/>
      <c r="J164" s="56"/>
      <c r="K164" s="56"/>
      <c r="L164" s="56"/>
      <c r="M164" s="55"/>
      <c r="N164" s="55"/>
      <c r="O164" s="55"/>
      <c r="P164" s="55"/>
      <c r="Q164" s="55"/>
      <c r="R164" s="55"/>
      <c r="S164" s="55"/>
      <c r="T164" s="55"/>
      <c r="U164" s="55"/>
      <c r="V164" s="55"/>
      <c r="W164" s="56"/>
    </row>
    <row r="165" spans="1:23">
      <c r="A165" s="55"/>
      <c r="B165" s="56"/>
      <c r="C165" s="56"/>
      <c r="D165" s="56"/>
      <c r="E165" s="56"/>
      <c r="F165" s="56"/>
      <c r="G165" s="56"/>
      <c r="H165" s="56"/>
      <c r="I165" s="56"/>
      <c r="J165" s="56"/>
      <c r="K165" s="56"/>
      <c r="L165" s="56"/>
      <c r="M165" s="55"/>
      <c r="N165" s="55"/>
      <c r="O165" s="55"/>
      <c r="P165" s="55"/>
      <c r="Q165" s="55"/>
      <c r="R165" s="55"/>
      <c r="S165" s="55"/>
      <c r="T165" s="55"/>
      <c r="U165" s="55"/>
      <c r="V165" s="55"/>
      <c r="W165" s="56"/>
    </row>
    <row r="166" spans="1:23">
      <c r="A166" s="55"/>
      <c r="B166" s="56"/>
      <c r="C166" s="56"/>
      <c r="D166" s="56"/>
      <c r="E166" s="56"/>
      <c r="F166" s="56"/>
      <c r="G166" s="56"/>
      <c r="H166" s="56"/>
      <c r="I166" s="56"/>
      <c r="J166" s="56"/>
      <c r="K166" s="56"/>
      <c r="L166" s="56"/>
      <c r="M166" s="55"/>
      <c r="N166" s="55"/>
      <c r="O166" s="55"/>
      <c r="P166" s="55"/>
      <c r="Q166" s="55"/>
      <c r="R166" s="55"/>
      <c r="S166" s="55"/>
      <c r="T166" s="55"/>
      <c r="U166" s="55"/>
      <c r="V166" s="55"/>
      <c r="W166" s="56"/>
    </row>
    <row r="167" spans="1:23">
      <c r="A167" s="56"/>
      <c r="B167" s="56"/>
      <c r="C167" s="56"/>
      <c r="D167" s="56"/>
      <c r="E167" s="56"/>
      <c r="F167" s="56"/>
      <c r="G167" s="56"/>
      <c r="H167" s="56"/>
      <c r="I167" s="56"/>
      <c r="J167" s="56"/>
      <c r="K167" s="56"/>
      <c r="L167" s="56"/>
      <c r="M167" s="55"/>
      <c r="N167" s="55"/>
      <c r="O167" s="55"/>
      <c r="P167" s="55"/>
      <c r="Q167" s="55"/>
      <c r="R167" s="55"/>
      <c r="S167" s="55"/>
      <c r="T167" s="55"/>
      <c r="U167" s="55"/>
      <c r="V167" s="55"/>
      <c r="W167" s="56"/>
    </row>
  </sheetData>
  <mergeCells count="6">
    <mergeCell ref="C29:G29"/>
    <mergeCell ref="B1:L1"/>
    <mergeCell ref="B2:L2"/>
    <mergeCell ref="B5:L5"/>
    <mergeCell ref="B11:L11"/>
    <mergeCell ref="B18:L18"/>
  </mergeCells>
  <hyperlinks>
    <hyperlink ref="I8" r:id="rId1" xr:uid="{2F1439ED-98BD-974A-849B-BF44AC13E9A9}"/>
    <hyperlink ref="I23" r:id="rId2" xr:uid="{AD0FFEE0-53EF-BB48-835C-4AEA2B596F35}"/>
  </hyperlinks>
  <pageMargins left="0.15748031496062992" right="0.15748031496062992" top="0.27559055118110237" bottom="0.15748031496062992" header="0.31496062992125984" footer="0.31496062992125984"/>
  <pageSetup paperSize="9" scale="55"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6037-D68E-3D42-9E9A-6ED4E258119A}">
  <sheetPr>
    <tabColor rgb="FF00F900"/>
  </sheetPr>
  <dimension ref="A1:Q18"/>
  <sheetViews>
    <sheetView showGridLines="0" rightToLeft="1" workbookViewId="0">
      <selection activeCell="M12" sqref="M12"/>
    </sheetView>
  </sheetViews>
  <sheetFormatPr defaultColWidth="10.796875" defaultRowHeight="15"/>
  <cols>
    <col min="1" max="1" width="10.796875" style="214"/>
    <col min="2" max="2" width="15.19921875" style="214" customWidth="1"/>
    <col min="3" max="3" width="11.69921875" style="214" customWidth="1"/>
    <col min="4" max="4" width="11.796875" style="214" customWidth="1"/>
    <col min="5" max="5" width="12" style="214" customWidth="1"/>
    <col min="6" max="6" width="15.19921875" style="214" customWidth="1"/>
    <col min="7" max="7" width="10.796875" style="214"/>
    <col min="8" max="8" width="13" style="214" bestFit="1" customWidth="1"/>
    <col min="9" max="9" width="10.796875" style="214"/>
    <col min="10" max="10" width="17" style="214" customWidth="1"/>
    <col min="11" max="13" width="10.796875" style="214"/>
    <col min="14" max="14" width="17.5" style="214" customWidth="1"/>
    <col min="15" max="16384" width="10.796875" style="214"/>
  </cols>
  <sheetData>
    <row r="1" spans="1:17" ht="34.950000000000003" customHeight="1">
      <c r="A1" s="636" t="s">
        <v>1762</v>
      </c>
      <c r="B1" s="636"/>
      <c r="C1" s="636"/>
      <c r="D1" s="636"/>
      <c r="E1" s="636"/>
      <c r="F1" s="636"/>
      <c r="G1" s="636"/>
      <c r="H1" s="636"/>
      <c r="I1" s="636"/>
      <c r="J1" s="636"/>
      <c r="K1" s="636"/>
      <c r="L1" s="636"/>
      <c r="M1" s="636"/>
      <c r="N1" s="636"/>
      <c r="O1" s="636"/>
      <c r="P1" s="636"/>
      <c r="Q1" s="636"/>
    </row>
    <row r="2" spans="1:17" ht="40.049999999999997" customHeight="1">
      <c r="A2" s="644" t="s">
        <v>1674</v>
      </c>
      <c r="B2" s="476" t="s">
        <v>1719</v>
      </c>
      <c r="C2" s="506" t="s">
        <v>1755</v>
      </c>
      <c r="D2" s="506" t="s">
        <v>41</v>
      </c>
      <c r="E2" s="506" t="s">
        <v>1620</v>
      </c>
      <c r="F2" s="507" t="s">
        <v>42</v>
      </c>
      <c r="G2" s="506" t="s">
        <v>1755</v>
      </c>
      <c r="H2" s="506" t="s">
        <v>41</v>
      </c>
      <c r="I2" s="506" t="s">
        <v>1620</v>
      </c>
      <c r="J2" s="507" t="s">
        <v>44</v>
      </c>
      <c r="K2" s="506" t="s">
        <v>1755</v>
      </c>
      <c r="L2" s="506" t="s">
        <v>41</v>
      </c>
      <c r="M2" s="506" t="s">
        <v>1620</v>
      </c>
      <c r="N2" s="507" t="s">
        <v>46</v>
      </c>
      <c r="O2" s="506" t="s">
        <v>1755</v>
      </c>
      <c r="P2" s="506" t="s">
        <v>41</v>
      </c>
      <c r="Q2" s="506" t="s">
        <v>1620</v>
      </c>
    </row>
    <row r="3" spans="1:17" ht="40.950000000000003" customHeight="1">
      <c r="A3" s="645"/>
      <c r="B3" s="477" t="s">
        <v>1306</v>
      </c>
      <c r="C3" s="215">
        <f>'إحصاء الطلاب'!E3</f>
        <v>1</v>
      </c>
      <c r="D3" s="215">
        <f>'إحصاء الطلاب'!I3</f>
        <v>6</v>
      </c>
      <c r="E3" s="215">
        <f>(C3*25)-D3</f>
        <v>19</v>
      </c>
      <c r="F3" s="469" t="s">
        <v>1756</v>
      </c>
      <c r="G3" s="473">
        <f>'إحصاء الطلاب'!E7+'إحصاء الطلاب'!E8</f>
        <v>1</v>
      </c>
      <c r="H3" s="473">
        <f>'إحصاء الطلاب'!I7</f>
        <v>11</v>
      </c>
      <c r="I3" s="215">
        <f>(G3*25)-H3</f>
        <v>14</v>
      </c>
      <c r="J3" s="469" t="s">
        <v>1756</v>
      </c>
      <c r="K3" s="473">
        <f>'إحصاء الطلاب'!E29</f>
        <v>1</v>
      </c>
      <c r="L3" s="473">
        <f>'إحصاء الطلاب'!I29</f>
        <v>14</v>
      </c>
      <c r="M3" s="215">
        <f>(K3*25)-L3</f>
        <v>11</v>
      </c>
      <c r="N3" s="469" t="s">
        <v>1756</v>
      </c>
      <c r="O3" s="473">
        <f>'إحصاء الطلاب'!E44</f>
        <v>2</v>
      </c>
      <c r="P3" s="473">
        <f>'إحصاء الطلاب'!I44</f>
        <v>48</v>
      </c>
      <c r="Q3" s="215">
        <f>(O3*25)-P3</f>
        <v>2</v>
      </c>
    </row>
    <row r="4" spans="1:17" ht="40.950000000000003" customHeight="1">
      <c r="A4" s="645"/>
      <c r="B4" s="477" t="s">
        <v>1307</v>
      </c>
      <c r="C4" s="215">
        <f>'إحصاء الطلاب'!E4</f>
        <v>1</v>
      </c>
      <c r="D4" s="215">
        <f>'إحصاء الطلاب'!I4</f>
        <v>16</v>
      </c>
      <c r="E4" s="215">
        <f t="shared" ref="E4:E5" si="0">(C4*25)-D4</f>
        <v>9</v>
      </c>
      <c r="F4" s="469" t="s">
        <v>1757</v>
      </c>
      <c r="G4" s="468">
        <f>'إحصاء الطلاب'!E9+'إحصاء الطلاب'!E10</f>
        <v>1</v>
      </c>
      <c r="H4" s="468">
        <f>'إحصاء الطلاب'!I9</f>
        <v>17</v>
      </c>
      <c r="I4" s="215">
        <f t="shared" ref="I4:I8" si="1">(G4*25)-H4</f>
        <v>8</v>
      </c>
      <c r="J4" s="469" t="s">
        <v>1757</v>
      </c>
      <c r="K4" s="468">
        <f>'إحصاء الطلاب'!E30</f>
        <v>1</v>
      </c>
      <c r="L4" s="468">
        <f>'إحصاء الطلاب'!I30</f>
        <v>19</v>
      </c>
      <c r="M4" s="215">
        <f t="shared" ref="M4:M5" si="2">(K4*25)-L4</f>
        <v>6</v>
      </c>
      <c r="N4" s="469" t="s">
        <v>1757</v>
      </c>
      <c r="O4" s="473">
        <f>'إحصاء الطلاب'!E45</f>
        <v>3</v>
      </c>
      <c r="P4" s="473">
        <f>'إحصاء الطلاب'!I45</f>
        <v>72</v>
      </c>
      <c r="Q4" s="215">
        <f t="shared" ref="Q4:Q5" si="3">(O4*25)-P4</f>
        <v>3</v>
      </c>
    </row>
    <row r="5" spans="1:17" ht="40.950000000000003" customHeight="1">
      <c r="A5" s="645"/>
      <c r="B5" s="477" t="s">
        <v>1308</v>
      </c>
      <c r="C5" s="215">
        <f>'إحصاء الطلاب'!E5</f>
        <v>1</v>
      </c>
      <c r="D5" s="215">
        <f>'إحصاء الطلاب'!I5</f>
        <v>21</v>
      </c>
      <c r="E5" s="215">
        <f t="shared" si="0"/>
        <v>4</v>
      </c>
      <c r="F5" s="469" t="s">
        <v>1758</v>
      </c>
      <c r="G5" s="468">
        <f>'إحصاء الطلاب'!E11+'إحصاء الطلاب'!E12</f>
        <v>2</v>
      </c>
      <c r="H5" s="468">
        <f>'إحصاء الطلاب'!I11</f>
        <v>37</v>
      </c>
      <c r="I5" s="215">
        <f t="shared" si="1"/>
        <v>13</v>
      </c>
      <c r="J5" s="469" t="s">
        <v>1758</v>
      </c>
      <c r="K5" s="468">
        <f>'إحصاء الطلاب'!E31</f>
        <v>1</v>
      </c>
      <c r="L5" s="468">
        <f>'إحصاء الطلاب'!I31</f>
        <v>15</v>
      </c>
      <c r="M5" s="215">
        <f t="shared" si="2"/>
        <v>10</v>
      </c>
      <c r="N5" s="469" t="s">
        <v>1758</v>
      </c>
      <c r="O5" s="468">
        <f>'إحصاء الطلاب'!E49</f>
        <v>2</v>
      </c>
      <c r="P5" s="468">
        <f>'إحصاء الطلاب'!I49</f>
        <v>69</v>
      </c>
      <c r="Q5" s="215">
        <f t="shared" si="3"/>
        <v>-19</v>
      </c>
    </row>
    <row r="6" spans="1:17" ht="40.049999999999997" customHeight="1">
      <c r="A6" s="645"/>
      <c r="B6" s="478" t="s">
        <v>1763</v>
      </c>
      <c r="C6" s="642">
        <f>E3+E4+E5</f>
        <v>32</v>
      </c>
      <c r="D6" s="642"/>
      <c r="E6" s="642"/>
      <c r="F6" s="469" t="s">
        <v>1759</v>
      </c>
      <c r="G6" s="468">
        <f>'إحصاء الطلاب'!E13+'إحصاء الطلاب'!E14</f>
        <v>1</v>
      </c>
      <c r="H6" s="468">
        <f>'إحصاء الطلاب'!I13</f>
        <v>22</v>
      </c>
      <c r="I6" s="215">
        <f t="shared" si="1"/>
        <v>3</v>
      </c>
      <c r="J6" s="478" t="s">
        <v>1763</v>
      </c>
      <c r="K6" s="639">
        <f>M3+M4+M5</f>
        <v>27</v>
      </c>
      <c r="L6" s="639"/>
      <c r="M6" s="639"/>
      <c r="N6" s="478" t="s">
        <v>1763</v>
      </c>
      <c r="O6" s="639">
        <f>Q3+Q4+Q5</f>
        <v>-14</v>
      </c>
      <c r="P6" s="639"/>
      <c r="Q6" s="639"/>
    </row>
    <row r="7" spans="1:17" ht="40.950000000000003" customHeight="1">
      <c r="A7" s="645"/>
      <c r="B7" s="471"/>
      <c r="C7" s="472"/>
      <c r="D7" s="472"/>
      <c r="E7" s="472"/>
      <c r="F7" s="470" t="s">
        <v>1760</v>
      </c>
      <c r="G7" s="468">
        <f>'إحصاء الطلاب'!E15</f>
        <v>1</v>
      </c>
      <c r="H7" s="468">
        <f>'إحصاء الطلاب'!I15</f>
        <v>14</v>
      </c>
      <c r="I7" s="475">
        <f t="shared" si="1"/>
        <v>11</v>
      </c>
      <c r="J7" s="474"/>
      <c r="K7" s="474"/>
      <c r="L7" s="474"/>
      <c r="M7" s="474"/>
      <c r="N7" s="474"/>
    </row>
    <row r="8" spans="1:17" ht="40.950000000000003" customHeight="1">
      <c r="A8" s="645"/>
      <c r="B8" s="471"/>
      <c r="C8" s="472"/>
      <c r="D8" s="472"/>
      <c r="E8" s="472"/>
      <c r="F8" s="470" t="s">
        <v>1761</v>
      </c>
      <c r="G8" s="468">
        <f>'إحصاء الطلاب'!E16</f>
        <v>1</v>
      </c>
      <c r="H8" s="468">
        <f>'إحصاء الطلاب'!G16</f>
        <v>9</v>
      </c>
      <c r="I8" s="475">
        <f t="shared" si="1"/>
        <v>16</v>
      </c>
      <c r="J8" s="474"/>
      <c r="K8" s="474"/>
      <c r="L8" s="474"/>
      <c r="M8" s="474"/>
      <c r="N8" s="474"/>
    </row>
    <row r="9" spans="1:17" ht="34.950000000000003" customHeight="1">
      <c r="A9" s="646"/>
      <c r="B9" s="471"/>
      <c r="C9" s="472"/>
      <c r="D9" s="472"/>
      <c r="E9" s="472"/>
      <c r="F9" s="478" t="s">
        <v>1763</v>
      </c>
      <c r="G9" s="643">
        <f>I3+I4+I5+I6+I7+I8</f>
        <v>65</v>
      </c>
      <c r="H9" s="643"/>
      <c r="I9" s="643"/>
      <c r="J9" s="474"/>
      <c r="K9" s="474"/>
      <c r="L9" s="474"/>
      <c r="M9" s="474"/>
      <c r="N9" s="474"/>
    </row>
    <row r="10" spans="1:17" ht="10.050000000000001" customHeight="1">
      <c r="A10" s="641"/>
      <c r="B10" s="641"/>
      <c r="C10" s="641"/>
      <c r="D10" s="641"/>
      <c r="E10" s="641"/>
      <c r="F10" s="641"/>
      <c r="G10" s="641"/>
      <c r="H10" s="641"/>
      <c r="I10" s="641"/>
      <c r="J10" s="641"/>
      <c r="K10" s="641"/>
      <c r="L10" s="641"/>
      <c r="M10" s="641"/>
      <c r="N10" s="641"/>
      <c r="O10" s="641"/>
      <c r="P10" s="641"/>
      <c r="Q10" s="641"/>
    </row>
    <row r="11" spans="1:17" ht="37.049999999999997" customHeight="1">
      <c r="A11" s="637" t="s">
        <v>1673</v>
      </c>
      <c r="B11" s="479" t="s">
        <v>96</v>
      </c>
      <c r="C11" s="480" t="s">
        <v>1755</v>
      </c>
      <c r="D11" s="480" t="s">
        <v>41</v>
      </c>
      <c r="E11" s="480" t="s">
        <v>1620</v>
      </c>
      <c r="F11" s="481" t="s">
        <v>43</v>
      </c>
      <c r="G11" s="480" t="s">
        <v>1755</v>
      </c>
      <c r="H11" s="480" t="s">
        <v>41</v>
      </c>
      <c r="I11" s="480" t="s">
        <v>1620</v>
      </c>
      <c r="J11" s="481" t="s">
        <v>45</v>
      </c>
      <c r="K11" s="480" t="s">
        <v>1755</v>
      </c>
      <c r="L11" s="480" t="s">
        <v>41</v>
      </c>
      <c r="M11" s="480" t="s">
        <v>1620</v>
      </c>
    </row>
    <row r="12" spans="1:17" ht="42" customHeight="1">
      <c r="A12" s="638"/>
      <c r="B12" s="470" t="s">
        <v>1756</v>
      </c>
      <c r="C12" s="473">
        <f>'إحصاء الطلاب'!E18</f>
        <v>2</v>
      </c>
      <c r="D12" s="473">
        <f>'إحصاء الطلاب'!I18</f>
        <v>44</v>
      </c>
      <c r="E12" s="215">
        <f>(C12*25)-D12</f>
        <v>6</v>
      </c>
      <c r="F12" s="469" t="s">
        <v>1756</v>
      </c>
      <c r="G12" s="473">
        <f>'إحصاء الطلاب'!E25</f>
        <v>3</v>
      </c>
      <c r="H12" s="473">
        <f>'إحصاء الطلاب'!I25</f>
        <v>69</v>
      </c>
      <c r="I12" s="215">
        <f>(G12*25)-H12</f>
        <v>6</v>
      </c>
      <c r="J12" s="469" t="s">
        <v>1756</v>
      </c>
      <c r="K12" s="473">
        <f>'إحصاء الطلاب'!E33+'إحصاء الطلاب'!E34</f>
        <v>8</v>
      </c>
      <c r="L12" s="473">
        <f>'إحصاء الطلاب'!I33+'إحصاء الطلاب'!I34</f>
        <v>203</v>
      </c>
      <c r="M12" s="215">
        <f>(K12*25)-L12</f>
        <v>-3</v>
      </c>
    </row>
    <row r="13" spans="1:17" ht="42" customHeight="1">
      <c r="A13" s="638"/>
      <c r="B13" s="470" t="s">
        <v>1757</v>
      </c>
      <c r="C13" s="473">
        <f>'إحصاء الطلاب'!E19</f>
        <v>2</v>
      </c>
      <c r="D13" s="473">
        <f>'إحصاء الطلاب'!I19</f>
        <v>42</v>
      </c>
      <c r="E13" s="215">
        <f t="shared" ref="E13:E17" si="4">(C13*25)-D13</f>
        <v>8</v>
      </c>
      <c r="F13" s="469" t="s">
        <v>1757</v>
      </c>
      <c r="G13" s="473">
        <f>'إحصاء الطلاب'!E26</f>
        <v>3</v>
      </c>
      <c r="H13" s="473">
        <f>'إحصاء الطلاب'!I26</f>
        <v>67</v>
      </c>
      <c r="I13" s="215">
        <f t="shared" ref="I13:I14" si="5">(G13*25)-H13</f>
        <v>8</v>
      </c>
      <c r="J13" s="469" t="s">
        <v>1757</v>
      </c>
      <c r="K13" s="473">
        <f>'إحصاء الطلاب'!E35+'إحصاء الطلاب'!E36</f>
        <v>8</v>
      </c>
      <c r="L13" s="473">
        <f>'إحصاء الطلاب'!I35+'إحصاء الطلاب'!I36</f>
        <v>224</v>
      </c>
      <c r="M13" s="215">
        <f t="shared" ref="M13:M14" si="6">(K13*25)-L13</f>
        <v>-24</v>
      </c>
    </row>
    <row r="14" spans="1:17" ht="42" customHeight="1">
      <c r="A14" s="638"/>
      <c r="B14" s="470" t="s">
        <v>1758</v>
      </c>
      <c r="C14" s="473">
        <f>'إحصاء الطلاب'!E20</f>
        <v>2</v>
      </c>
      <c r="D14" s="473">
        <f>'إحصاء الطلاب'!I20</f>
        <v>36</v>
      </c>
      <c r="E14" s="215">
        <f t="shared" si="4"/>
        <v>14</v>
      </c>
      <c r="F14" s="469" t="s">
        <v>1758</v>
      </c>
      <c r="G14" s="473">
        <f>'إحصاء الطلاب'!E27</f>
        <v>3</v>
      </c>
      <c r="H14" s="473">
        <f>'إحصاء الطلاب'!I27</f>
        <v>68</v>
      </c>
      <c r="I14" s="215">
        <f t="shared" si="5"/>
        <v>7</v>
      </c>
      <c r="J14" s="469" t="s">
        <v>1758</v>
      </c>
      <c r="K14" s="468">
        <f>'إحصاء الطلاب'!E39</f>
        <v>7</v>
      </c>
      <c r="L14" s="468">
        <f>'إحصاء الطلاب'!I39</f>
        <v>237</v>
      </c>
      <c r="M14" s="215">
        <f t="shared" si="6"/>
        <v>-62</v>
      </c>
    </row>
    <row r="15" spans="1:17" ht="42" customHeight="1">
      <c r="A15" s="638"/>
      <c r="B15" s="470" t="s">
        <v>1759</v>
      </c>
      <c r="C15" s="473">
        <f>'إحصاء الطلاب'!E21</f>
        <v>3</v>
      </c>
      <c r="D15" s="473">
        <f>'إحصاء الطلاب'!I21</f>
        <v>61</v>
      </c>
      <c r="E15" s="215">
        <f t="shared" si="4"/>
        <v>14</v>
      </c>
      <c r="F15" s="478" t="s">
        <v>1763</v>
      </c>
      <c r="G15" s="640">
        <f>I12+I13+I14</f>
        <v>21</v>
      </c>
      <c r="H15" s="640"/>
      <c r="I15" s="640"/>
      <c r="J15" s="478" t="s">
        <v>1763</v>
      </c>
      <c r="K15" s="640">
        <f>M12+M13+M14</f>
        <v>-89</v>
      </c>
      <c r="L15" s="640"/>
      <c r="M15" s="640"/>
    </row>
    <row r="16" spans="1:17" ht="45" customHeight="1">
      <c r="A16" s="638"/>
      <c r="B16" s="470" t="s">
        <v>1760</v>
      </c>
      <c r="C16" s="473">
        <f>'إحصاء الطلاب'!E22</f>
        <v>2</v>
      </c>
      <c r="D16" s="473">
        <f>'إحصاء الطلاب'!I22</f>
        <v>52</v>
      </c>
      <c r="E16" s="475">
        <f t="shared" si="4"/>
        <v>-2</v>
      </c>
      <c r="F16" s="474"/>
      <c r="G16" s="474"/>
      <c r="H16" s="474"/>
      <c r="I16" s="474"/>
      <c r="J16" s="474"/>
    </row>
    <row r="17" spans="1:10" ht="45" customHeight="1">
      <c r="A17" s="638"/>
      <c r="B17" s="470" t="s">
        <v>1761</v>
      </c>
      <c r="C17" s="473">
        <f>'إحصاء الطلاب'!E23</f>
        <v>2</v>
      </c>
      <c r="D17" s="473">
        <f>'إحصاء الطلاب'!I23</f>
        <v>38</v>
      </c>
      <c r="E17" s="475">
        <f t="shared" si="4"/>
        <v>12</v>
      </c>
      <c r="F17" s="474"/>
      <c r="G17" s="474"/>
      <c r="H17" s="474"/>
      <c r="I17" s="474"/>
      <c r="J17" s="474"/>
    </row>
    <row r="18" spans="1:10" ht="37.950000000000003" customHeight="1">
      <c r="A18" s="638"/>
      <c r="B18" s="478" t="s">
        <v>1763</v>
      </c>
      <c r="C18" s="640">
        <f>E12+E13+E14+E15+E16+E17</f>
        <v>52</v>
      </c>
      <c r="D18" s="640"/>
      <c r="E18" s="640"/>
      <c r="F18" s="474"/>
      <c r="G18" s="474"/>
      <c r="H18" s="474"/>
      <c r="I18" s="474"/>
      <c r="J18" s="474"/>
    </row>
  </sheetData>
  <mergeCells count="11">
    <mergeCell ref="A1:Q1"/>
    <mergeCell ref="A11:A18"/>
    <mergeCell ref="O6:Q6"/>
    <mergeCell ref="G15:I15"/>
    <mergeCell ref="K15:M15"/>
    <mergeCell ref="C18:E18"/>
    <mergeCell ref="A10:Q10"/>
    <mergeCell ref="C6:E6"/>
    <mergeCell ref="G9:I9"/>
    <mergeCell ref="K6:M6"/>
    <mergeCell ref="A2:A9"/>
  </mergeCells>
  <pageMargins left="0.7" right="0.7" top="0.75" bottom="0.75" header="0.3" footer="0.3"/>
  <pageSetup paperSize="9" scale="55" orientation="landscape"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EF7E1-FFE7-2040-ABF7-0DD2F6AC644A}">
  <dimension ref="A1:J13"/>
  <sheetViews>
    <sheetView rightToLeft="1" workbookViewId="0">
      <selection sqref="A1:J1"/>
    </sheetView>
  </sheetViews>
  <sheetFormatPr defaultColWidth="11.19921875" defaultRowHeight="13.8"/>
  <cols>
    <col min="1" max="1" width="46.69921875" customWidth="1"/>
  </cols>
  <sheetData>
    <row r="1" spans="1:10" ht="45" customHeight="1">
      <c r="A1" s="647" t="s">
        <v>1772</v>
      </c>
      <c r="B1" s="647"/>
      <c r="C1" s="647"/>
      <c r="D1" s="647"/>
      <c r="E1" s="647"/>
      <c r="F1" s="647"/>
      <c r="G1" s="647"/>
      <c r="H1" s="647"/>
      <c r="I1" s="647"/>
      <c r="J1" s="647"/>
    </row>
    <row r="2" spans="1:10" s="509" customFormat="1" ht="45" customHeight="1">
      <c r="A2" s="508" t="s">
        <v>1773</v>
      </c>
      <c r="B2" s="508" t="s">
        <v>2</v>
      </c>
      <c r="C2" s="508" t="s">
        <v>42</v>
      </c>
      <c r="D2" s="508" t="s">
        <v>44</v>
      </c>
      <c r="E2" s="508" t="s">
        <v>46</v>
      </c>
      <c r="F2" s="508" t="s">
        <v>96</v>
      </c>
      <c r="G2" s="508" t="s">
        <v>43</v>
      </c>
      <c r="H2" s="508" t="s">
        <v>45</v>
      </c>
      <c r="I2" s="508" t="s">
        <v>1774</v>
      </c>
      <c r="J2" s="508" t="s">
        <v>369</v>
      </c>
    </row>
    <row r="3" spans="1:10" s="509" customFormat="1" ht="45" customHeight="1">
      <c r="A3" s="510" t="s">
        <v>1775</v>
      </c>
      <c r="B3" s="142">
        <v>24</v>
      </c>
      <c r="C3" s="142">
        <v>115</v>
      </c>
      <c r="D3" s="142">
        <v>51</v>
      </c>
      <c r="E3" s="142">
        <v>201</v>
      </c>
      <c r="F3" s="142">
        <v>243</v>
      </c>
      <c r="G3" s="142">
        <v>163</v>
      </c>
      <c r="H3" s="142">
        <v>313</v>
      </c>
      <c r="I3" s="142">
        <v>0</v>
      </c>
      <c r="J3" s="142">
        <f>SUM(B3:I3)</f>
        <v>1110</v>
      </c>
    </row>
    <row r="4" spans="1:10" s="509" customFormat="1" ht="45" customHeight="1">
      <c r="A4" s="510" t="s">
        <v>1776</v>
      </c>
      <c r="B4" s="142">
        <v>35</v>
      </c>
      <c r="C4" s="142">
        <v>98</v>
      </c>
      <c r="D4" s="142">
        <v>47</v>
      </c>
      <c r="E4" s="142">
        <v>171</v>
      </c>
      <c r="F4" s="142">
        <v>267</v>
      </c>
      <c r="G4" s="142">
        <v>173</v>
      </c>
      <c r="H4" s="142">
        <v>325</v>
      </c>
      <c r="I4" s="142">
        <v>52</v>
      </c>
      <c r="J4" s="142">
        <f>SUM(B4:I4)</f>
        <v>1168</v>
      </c>
    </row>
    <row r="5" spans="1:10" s="509" customFormat="1" ht="45" customHeight="1">
      <c r="A5" s="510" t="s">
        <v>1777</v>
      </c>
      <c r="B5" s="511">
        <f t="shared" ref="B5:I5" si="0">B4-B3</f>
        <v>11</v>
      </c>
      <c r="C5" s="512">
        <f t="shared" si="0"/>
        <v>-17</v>
      </c>
      <c r="D5" s="512">
        <f t="shared" si="0"/>
        <v>-4</v>
      </c>
      <c r="E5" s="512">
        <f t="shared" si="0"/>
        <v>-30</v>
      </c>
      <c r="F5" s="511">
        <f t="shared" si="0"/>
        <v>24</v>
      </c>
      <c r="G5" s="511">
        <f t="shared" si="0"/>
        <v>10</v>
      </c>
      <c r="H5" s="511">
        <f t="shared" si="0"/>
        <v>12</v>
      </c>
      <c r="I5" s="511">
        <f t="shared" si="0"/>
        <v>52</v>
      </c>
      <c r="J5" s="511">
        <f>J4-J3</f>
        <v>58</v>
      </c>
    </row>
    <row r="6" spans="1:10" ht="45" customHeight="1">
      <c r="A6" s="647" t="s">
        <v>1778</v>
      </c>
      <c r="B6" s="647"/>
      <c r="C6" s="647"/>
      <c r="D6" s="647"/>
      <c r="E6" s="647"/>
      <c r="F6" s="647"/>
      <c r="G6" s="647"/>
      <c r="H6" s="647"/>
      <c r="I6" s="647"/>
      <c r="J6" s="647"/>
    </row>
    <row r="7" spans="1:10" ht="45" customHeight="1">
      <c r="A7" s="510" t="s">
        <v>1779</v>
      </c>
      <c r="B7" s="142">
        <v>35</v>
      </c>
      <c r="C7" s="513">
        <v>98</v>
      </c>
      <c r="D7" s="142">
        <v>47</v>
      </c>
      <c r="E7" s="142">
        <v>171</v>
      </c>
      <c r="F7" s="513">
        <v>266</v>
      </c>
      <c r="G7" s="142">
        <v>207</v>
      </c>
      <c r="H7" s="142">
        <v>568</v>
      </c>
      <c r="I7" s="142">
        <v>52</v>
      </c>
      <c r="J7" s="142">
        <f>SUM(B7:I7)</f>
        <v>1444</v>
      </c>
    </row>
    <row r="8" spans="1:10" ht="45" customHeight="1">
      <c r="A8" s="510" t="s">
        <v>1780</v>
      </c>
      <c r="B8" s="142">
        <v>0</v>
      </c>
      <c r="C8" s="142">
        <v>2</v>
      </c>
      <c r="D8" s="142">
        <v>0</v>
      </c>
      <c r="E8" s="142">
        <v>3</v>
      </c>
      <c r="F8" s="142">
        <v>6</v>
      </c>
      <c r="G8" s="142">
        <v>3</v>
      </c>
      <c r="H8" s="142">
        <v>6</v>
      </c>
      <c r="I8" s="142">
        <v>1</v>
      </c>
      <c r="J8" s="142">
        <f>SUM(B8:I8)</f>
        <v>21</v>
      </c>
    </row>
    <row r="9" spans="1:10" ht="45" customHeight="1">
      <c r="A9" s="514" t="s">
        <v>1781</v>
      </c>
      <c r="B9" s="142">
        <v>0</v>
      </c>
      <c r="C9" s="142">
        <v>0</v>
      </c>
      <c r="D9" s="142">
        <v>0</v>
      </c>
      <c r="E9" s="142">
        <v>0</v>
      </c>
      <c r="F9" s="142">
        <v>0</v>
      </c>
      <c r="G9" s="142">
        <v>3</v>
      </c>
      <c r="H9" s="142">
        <v>4</v>
      </c>
      <c r="I9" s="142">
        <v>0</v>
      </c>
      <c r="J9" s="142">
        <f>SUM(B9:I9)</f>
        <v>7</v>
      </c>
    </row>
    <row r="10" spans="1:10" ht="45" customHeight="1">
      <c r="A10" s="510" t="s">
        <v>1782</v>
      </c>
      <c r="B10" s="142">
        <v>4</v>
      </c>
      <c r="C10" s="142">
        <v>5</v>
      </c>
      <c r="D10" s="142">
        <v>1</v>
      </c>
      <c r="E10" s="142">
        <v>11</v>
      </c>
      <c r="F10" s="142">
        <v>4</v>
      </c>
      <c r="G10" s="142">
        <v>2</v>
      </c>
      <c r="H10" s="142">
        <v>21</v>
      </c>
      <c r="I10" s="142">
        <v>3</v>
      </c>
      <c r="J10" s="142">
        <f t="shared" ref="J10" si="1">SUM(B10:I10)</f>
        <v>51</v>
      </c>
    </row>
    <row r="11" spans="1:10" ht="45" customHeight="1">
      <c r="A11" s="515" t="s">
        <v>1783</v>
      </c>
      <c r="B11" s="516">
        <f>B12-B7</f>
        <v>4</v>
      </c>
      <c r="C11" s="516">
        <f t="shared" ref="C11:J11" si="2">C12-C7</f>
        <v>3</v>
      </c>
      <c r="D11" s="516">
        <f t="shared" si="2"/>
        <v>1</v>
      </c>
      <c r="E11" s="516">
        <f t="shared" si="2"/>
        <v>8</v>
      </c>
      <c r="F11" s="512">
        <f t="shared" si="2"/>
        <v>-2</v>
      </c>
      <c r="G11" s="512">
        <f t="shared" si="2"/>
        <v>-4</v>
      </c>
      <c r="H11" s="516">
        <f t="shared" si="2"/>
        <v>11</v>
      </c>
      <c r="I11" s="516">
        <f t="shared" si="2"/>
        <v>2</v>
      </c>
      <c r="J11" s="516">
        <f t="shared" si="2"/>
        <v>23</v>
      </c>
    </row>
    <row r="12" spans="1:10" ht="45" customHeight="1">
      <c r="A12" s="517" t="s">
        <v>369</v>
      </c>
      <c r="B12" s="142">
        <f>(B7-(B8+B9)+B10)</f>
        <v>39</v>
      </c>
      <c r="C12" s="142">
        <f t="shared" ref="C12:J12" si="3">(C7-(C8+C9)+C10)</f>
        <v>101</v>
      </c>
      <c r="D12" s="142">
        <f t="shared" si="3"/>
        <v>48</v>
      </c>
      <c r="E12" s="142">
        <f t="shared" si="3"/>
        <v>179</v>
      </c>
      <c r="F12" s="142">
        <f t="shared" si="3"/>
        <v>264</v>
      </c>
      <c r="G12" s="142">
        <f t="shared" si="3"/>
        <v>203</v>
      </c>
      <c r="H12" s="142">
        <f t="shared" si="3"/>
        <v>579</v>
      </c>
      <c r="I12" s="142">
        <f t="shared" si="3"/>
        <v>54</v>
      </c>
      <c r="J12" s="518">
        <f t="shared" si="3"/>
        <v>1467</v>
      </c>
    </row>
    <row r="13" spans="1:10" ht="45" customHeight="1">
      <c r="A13" s="519" t="s">
        <v>1784</v>
      </c>
      <c r="B13" s="520">
        <v>39</v>
      </c>
      <c r="C13" s="520">
        <v>107</v>
      </c>
      <c r="D13" s="520">
        <v>48</v>
      </c>
      <c r="E13" s="520">
        <v>180</v>
      </c>
      <c r="F13" s="520">
        <v>267</v>
      </c>
      <c r="G13" s="520">
        <v>202</v>
      </c>
      <c r="H13" s="520">
        <v>583</v>
      </c>
      <c r="I13" s="520">
        <v>54</v>
      </c>
      <c r="J13" s="520">
        <f>SUM(B13:I13)</f>
        <v>1480</v>
      </c>
    </row>
  </sheetData>
  <mergeCells count="2">
    <mergeCell ref="A1:J1"/>
    <mergeCell ref="A6:J6"/>
  </mergeCells>
  <pageMargins left="0.7" right="0.7" top="0.75" bottom="0.75" header="0.3" footer="0.3"/>
  <pageSetup paperSize="9" orientation="portrait"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03098-AFB4-7942-BB2F-BA2B58DF1808}">
  <sheetPr>
    <pageSetUpPr fitToPage="1"/>
  </sheetPr>
  <dimension ref="A1:K26"/>
  <sheetViews>
    <sheetView rightToLeft="1" workbookViewId="0">
      <selection sqref="A1:K1"/>
    </sheetView>
  </sheetViews>
  <sheetFormatPr defaultColWidth="11.19921875" defaultRowHeight="13.8"/>
  <cols>
    <col min="1" max="1" width="24.796875" customWidth="1"/>
    <col min="5" max="5" width="12.19921875" customWidth="1"/>
    <col min="6" max="6" width="12.5" customWidth="1"/>
    <col min="7" max="7" width="11.796875" customWidth="1"/>
    <col min="8" max="8" width="12.5" customWidth="1"/>
    <col min="10" max="10" width="10.796875" customWidth="1"/>
    <col min="11" max="11" width="13.19921875" customWidth="1"/>
  </cols>
  <sheetData>
    <row r="1" spans="1:11" ht="42" customHeight="1">
      <c r="A1" s="686" t="s">
        <v>1691</v>
      </c>
      <c r="B1" s="687"/>
      <c r="C1" s="687"/>
      <c r="D1" s="687"/>
      <c r="E1" s="687"/>
      <c r="F1" s="687"/>
      <c r="G1" s="687"/>
      <c r="H1" s="687"/>
      <c r="I1" s="687"/>
      <c r="J1" s="687"/>
      <c r="K1" s="688"/>
    </row>
    <row r="2" spans="1:11" ht="19.05" customHeight="1">
      <c r="A2" s="689" t="s">
        <v>0</v>
      </c>
      <c r="B2" s="692" t="s">
        <v>1</v>
      </c>
      <c r="C2" s="693"/>
      <c r="D2" s="692" t="s">
        <v>1692</v>
      </c>
      <c r="E2" s="693"/>
      <c r="F2" s="692" t="s">
        <v>1693</v>
      </c>
      <c r="G2" s="693"/>
      <c r="H2" s="698" t="s">
        <v>1694</v>
      </c>
      <c r="I2" s="689" t="s">
        <v>121</v>
      </c>
      <c r="J2" s="689" t="s">
        <v>9</v>
      </c>
      <c r="K2" s="701" t="s">
        <v>1695</v>
      </c>
    </row>
    <row r="3" spans="1:11" ht="19.05" customHeight="1">
      <c r="A3" s="690"/>
      <c r="B3" s="694"/>
      <c r="C3" s="695"/>
      <c r="D3" s="696"/>
      <c r="E3" s="697"/>
      <c r="F3" s="696"/>
      <c r="G3" s="697"/>
      <c r="H3" s="699"/>
      <c r="I3" s="690"/>
      <c r="J3" s="690"/>
      <c r="K3" s="702"/>
    </row>
    <row r="4" spans="1:11" ht="28.05" customHeight="1">
      <c r="A4" s="691"/>
      <c r="B4" s="694"/>
      <c r="C4" s="695"/>
      <c r="D4" s="409" t="s">
        <v>12</v>
      </c>
      <c r="E4" s="409" t="s">
        <v>13</v>
      </c>
      <c r="F4" s="410" t="s">
        <v>12</v>
      </c>
      <c r="G4" s="410" t="s">
        <v>13</v>
      </c>
      <c r="H4" s="700"/>
      <c r="I4" s="691"/>
      <c r="J4" s="691"/>
      <c r="K4" s="703"/>
    </row>
    <row r="5" spans="1:11" ht="28.05" customHeight="1">
      <c r="A5" s="704" t="s">
        <v>34</v>
      </c>
      <c r="B5" s="704"/>
      <c r="C5" s="705"/>
      <c r="D5" s="146">
        <v>0</v>
      </c>
      <c r="E5" s="146">
        <v>0</v>
      </c>
      <c r="F5" s="146">
        <v>2</v>
      </c>
      <c r="G5" s="146">
        <v>2</v>
      </c>
      <c r="H5" s="146">
        <v>1</v>
      </c>
      <c r="I5" s="146">
        <v>0</v>
      </c>
      <c r="J5" s="146">
        <v>0</v>
      </c>
      <c r="K5" s="411">
        <f>SUM(D5:J5)</f>
        <v>5</v>
      </c>
    </row>
    <row r="6" spans="1:11" ht="28.05" customHeight="1">
      <c r="A6" s="706" t="s">
        <v>1696</v>
      </c>
      <c r="B6" s="708" t="s">
        <v>3</v>
      </c>
      <c r="C6" s="709"/>
      <c r="D6" s="146">
        <v>0</v>
      </c>
      <c r="E6" s="146">
        <v>0</v>
      </c>
      <c r="F6" s="146">
        <v>0</v>
      </c>
      <c r="G6" s="146">
        <v>0</v>
      </c>
      <c r="H6" s="146">
        <v>0</v>
      </c>
      <c r="I6" s="146">
        <v>0</v>
      </c>
      <c r="J6" s="146">
        <v>0</v>
      </c>
      <c r="K6" s="412">
        <v>0</v>
      </c>
    </row>
    <row r="7" spans="1:11" ht="28.05" customHeight="1">
      <c r="A7" s="707"/>
      <c r="B7" s="708" t="s">
        <v>5</v>
      </c>
      <c r="C7" s="709"/>
      <c r="D7" s="146">
        <v>0</v>
      </c>
      <c r="E7" s="146">
        <v>0</v>
      </c>
      <c r="F7" s="146">
        <v>0</v>
      </c>
      <c r="G7" s="146">
        <v>0</v>
      </c>
      <c r="H7" s="146">
        <v>0</v>
      </c>
      <c r="I7" s="146">
        <v>0</v>
      </c>
      <c r="J7" s="146">
        <v>0</v>
      </c>
      <c r="K7" s="412">
        <v>0</v>
      </c>
    </row>
    <row r="8" spans="1:11" ht="30" customHeight="1">
      <c r="A8" s="413" t="s">
        <v>2</v>
      </c>
      <c r="B8" s="710" t="s">
        <v>3</v>
      </c>
      <c r="C8" s="711"/>
      <c r="D8" s="146">
        <v>2</v>
      </c>
      <c r="E8" s="146">
        <v>0</v>
      </c>
      <c r="F8" s="146">
        <v>1</v>
      </c>
      <c r="G8" s="146">
        <v>0</v>
      </c>
      <c r="H8" s="146">
        <v>1</v>
      </c>
      <c r="I8" s="146">
        <v>0</v>
      </c>
      <c r="J8" s="146">
        <v>0</v>
      </c>
      <c r="K8" s="414">
        <f t="shared" ref="K8:K14" si="0">SUM(D8:J8)</f>
        <v>4</v>
      </c>
    </row>
    <row r="9" spans="1:11" ht="28.95" customHeight="1">
      <c r="A9" s="712" t="s">
        <v>4</v>
      </c>
      <c r="B9" s="714" t="s">
        <v>5</v>
      </c>
      <c r="C9" s="715"/>
      <c r="D9" s="146">
        <v>1</v>
      </c>
      <c r="E9" s="146">
        <v>17</v>
      </c>
      <c r="F9" s="146">
        <v>0</v>
      </c>
      <c r="G9" s="146">
        <v>3</v>
      </c>
      <c r="H9" s="146">
        <v>2</v>
      </c>
      <c r="I9" s="146">
        <v>0</v>
      </c>
      <c r="J9" s="439">
        <v>1</v>
      </c>
      <c r="K9" s="415">
        <f t="shared" si="0"/>
        <v>24</v>
      </c>
    </row>
    <row r="10" spans="1:11" ht="28.95" customHeight="1">
      <c r="A10" s="713"/>
      <c r="B10" s="710" t="s">
        <v>3</v>
      </c>
      <c r="C10" s="711"/>
      <c r="D10" s="146">
        <v>8</v>
      </c>
      <c r="E10" s="146">
        <v>1</v>
      </c>
      <c r="F10" s="146">
        <v>1</v>
      </c>
      <c r="G10" s="146">
        <v>0</v>
      </c>
      <c r="H10" s="146">
        <v>1</v>
      </c>
      <c r="I10" s="146">
        <v>0</v>
      </c>
      <c r="J10" s="439">
        <v>1</v>
      </c>
      <c r="K10" s="414">
        <f t="shared" si="0"/>
        <v>12</v>
      </c>
    </row>
    <row r="11" spans="1:11" ht="28.95" customHeight="1">
      <c r="A11" s="559" t="s">
        <v>6</v>
      </c>
      <c r="B11" s="714" t="s">
        <v>5</v>
      </c>
      <c r="C11" s="715"/>
      <c r="D11" s="146">
        <v>3</v>
      </c>
      <c r="E11" s="439">
        <v>10</v>
      </c>
      <c r="F11" s="146">
        <v>1</v>
      </c>
      <c r="G11" s="146">
        <v>1</v>
      </c>
      <c r="H11" s="146">
        <v>0</v>
      </c>
      <c r="I11" s="146">
        <v>0</v>
      </c>
      <c r="J11" s="439">
        <v>0</v>
      </c>
      <c r="K11" s="415">
        <f t="shared" si="0"/>
        <v>15</v>
      </c>
    </row>
    <row r="12" spans="1:11" ht="28.95" customHeight="1">
      <c r="A12" s="561"/>
      <c r="B12" s="710" t="s">
        <v>3</v>
      </c>
      <c r="C12" s="711"/>
      <c r="D12" s="146">
        <v>4</v>
      </c>
      <c r="E12" s="146">
        <v>0</v>
      </c>
      <c r="F12" s="146">
        <v>1</v>
      </c>
      <c r="G12" s="146">
        <v>0</v>
      </c>
      <c r="H12" s="146">
        <v>0</v>
      </c>
      <c r="I12" s="146">
        <v>0</v>
      </c>
      <c r="J12" s="439">
        <v>0</v>
      </c>
      <c r="K12" s="414">
        <f t="shared" si="0"/>
        <v>5</v>
      </c>
    </row>
    <row r="13" spans="1:11" ht="28.95" customHeight="1">
      <c r="A13" s="716" t="s">
        <v>7</v>
      </c>
      <c r="B13" s="714" t="s">
        <v>5</v>
      </c>
      <c r="C13" s="715"/>
      <c r="D13" s="146">
        <v>4</v>
      </c>
      <c r="E13" s="439">
        <v>23</v>
      </c>
      <c r="F13" s="146">
        <v>4</v>
      </c>
      <c r="G13" s="146">
        <v>2</v>
      </c>
      <c r="H13" s="146">
        <v>2</v>
      </c>
      <c r="I13" s="146">
        <v>0</v>
      </c>
      <c r="J13" s="439">
        <v>1</v>
      </c>
      <c r="K13" s="415">
        <f t="shared" si="0"/>
        <v>36</v>
      </c>
    </row>
    <row r="14" spans="1:11" ht="28.95" customHeight="1">
      <c r="A14" s="717"/>
      <c r="B14" s="710" t="s">
        <v>3</v>
      </c>
      <c r="C14" s="711"/>
      <c r="D14" s="146">
        <v>9</v>
      </c>
      <c r="E14" s="146">
        <v>1</v>
      </c>
      <c r="F14" s="146">
        <v>5</v>
      </c>
      <c r="G14" s="146">
        <v>0</v>
      </c>
      <c r="H14" s="146">
        <v>0</v>
      </c>
      <c r="I14" s="146">
        <v>0</v>
      </c>
      <c r="J14" s="439">
        <v>0</v>
      </c>
      <c r="K14" s="414">
        <f t="shared" si="0"/>
        <v>15</v>
      </c>
    </row>
    <row r="15" spans="1:11" ht="37.950000000000003" customHeight="1">
      <c r="A15" s="657" t="s">
        <v>1697</v>
      </c>
      <c r="B15" s="659" t="s">
        <v>1698</v>
      </c>
      <c r="C15" s="660"/>
      <c r="D15" s="661" t="s">
        <v>1699</v>
      </c>
      <c r="E15" s="662"/>
      <c r="F15" s="663"/>
      <c r="G15" s="663"/>
      <c r="H15" s="663"/>
      <c r="I15" s="662"/>
      <c r="J15" s="662"/>
      <c r="K15" s="664"/>
    </row>
    <row r="16" spans="1:11" ht="28.05" customHeight="1">
      <c r="A16" s="658"/>
      <c r="B16" s="665" t="s">
        <v>1700</v>
      </c>
      <c r="C16" s="666"/>
      <c r="D16" s="371">
        <f>D9+D11+D13</f>
        <v>8</v>
      </c>
      <c r="E16" s="371">
        <f>E9+E11+E13</f>
        <v>50</v>
      </c>
      <c r="F16" s="667"/>
      <c r="G16" s="667"/>
      <c r="H16" s="667"/>
      <c r="I16" s="668" t="s">
        <v>1701</v>
      </c>
      <c r="J16" s="669"/>
      <c r="K16" s="416">
        <f>SUM(D16:E16)</f>
        <v>58</v>
      </c>
    </row>
    <row r="17" spans="1:11" ht="28.05" customHeight="1">
      <c r="A17" s="658"/>
      <c r="B17" s="670" t="s">
        <v>1702</v>
      </c>
      <c r="C17" s="671"/>
      <c r="D17" s="371">
        <f>D8+D10+D12+D14</f>
        <v>23</v>
      </c>
      <c r="E17" s="371">
        <f>E8+E10+E12+E14</f>
        <v>2</v>
      </c>
      <c r="F17" s="667"/>
      <c r="G17" s="667"/>
      <c r="H17" s="667"/>
      <c r="I17" s="672" t="s">
        <v>1703</v>
      </c>
      <c r="J17" s="673"/>
      <c r="K17" s="416">
        <f>SUM(D17:E17)</f>
        <v>25</v>
      </c>
    </row>
    <row r="18" spans="1:11" ht="28.05" customHeight="1">
      <c r="A18" s="658"/>
      <c r="B18" s="665" t="s">
        <v>1704</v>
      </c>
      <c r="C18" s="666"/>
      <c r="D18" s="371">
        <f>F9+F11+F13</f>
        <v>5</v>
      </c>
      <c r="E18" s="371">
        <f>G9+G11+G13</f>
        <v>6</v>
      </c>
      <c r="F18" s="667"/>
      <c r="G18" s="667"/>
      <c r="H18" s="667"/>
      <c r="I18" s="668" t="s">
        <v>1705</v>
      </c>
      <c r="J18" s="669"/>
      <c r="K18" s="416">
        <f>SUM(D18:E18)</f>
        <v>11</v>
      </c>
    </row>
    <row r="19" spans="1:11" ht="28.05" customHeight="1">
      <c r="A19" s="658"/>
      <c r="B19" s="670" t="s">
        <v>1706</v>
      </c>
      <c r="C19" s="671"/>
      <c r="D19" s="371">
        <f>F8+F10+F12+F14</f>
        <v>8</v>
      </c>
      <c r="E19" s="371">
        <f>G8+G10+G12+G14</f>
        <v>0</v>
      </c>
      <c r="F19" s="667"/>
      <c r="G19" s="667"/>
      <c r="H19" s="667"/>
      <c r="I19" s="672" t="s">
        <v>1707</v>
      </c>
      <c r="J19" s="673"/>
      <c r="K19" s="416">
        <f>SUM(D19:E19)</f>
        <v>8</v>
      </c>
    </row>
    <row r="20" spans="1:11" ht="28.05" customHeight="1">
      <c r="A20" s="658"/>
      <c r="B20" s="674" t="s">
        <v>1708</v>
      </c>
      <c r="C20" s="675"/>
      <c r="D20" s="417" t="s">
        <v>1712</v>
      </c>
      <c r="E20" s="416">
        <f>SUM(H5:H14)</f>
        <v>7</v>
      </c>
      <c r="F20" s="667"/>
      <c r="G20" s="667"/>
      <c r="H20" s="667"/>
      <c r="I20" s="682"/>
      <c r="J20" s="682"/>
      <c r="K20" s="683"/>
    </row>
    <row r="21" spans="1:11" ht="28.05" customHeight="1">
      <c r="A21" s="658"/>
      <c r="B21" s="676"/>
      <c r="C21" s="677"/>
      <c r="D21" s="417" t="s">
        <v>1709</v>
      </c>
      <c r="E21" s="416">
        <v>0</v>
      </c>
      <c r="F21" s="667"/>
      <c r="G21" s="667"/>
      <c r="H21" s="667"/>
      <c r="I21" s="684"/>
      <c r="J21" s="684"/>
      <c r="K21" s="685"/>
    </row>
    <row r="22" spans="1:11" ht="28.05" customHeight="1">
      <c r="A22" s="658"/>
      <c r="B22" s="678"/>
      <c r="C22" s="679"/>
      <c r="D22" s="417" t="s">
        <v>9</v>
      </c>
      <c r="E22" s="416">
        <f>SUM(J5:J14)</f>
        <v>3</v>
      </c>
      <c r="F22" s="667"/>
      <c r="G22" s="667"/>
      <c r="H22" s="667"/>
      <c r="I22" s="684"/>
      <c r="J22" s="684"/>
      <c r="K22" s="685"/>
    </row>
    <row r="23" spans="1:11" ht="28.05" customHeight="1">
      <c r="A23" s="658"/>
      <c r="B23" s="674" t="s">
        <v>1710</v>
      </c>
      <c r="C23" s="675"/>
      <c r="D23" s="648" t="s">
        <v>115</v>
      </c>
      <c r="E23" s="648" t="s">
        <v>1711</v>
      </c>
      <c r="F23" s="653" t="s">
        <v>1708</v>
      </c>
      <c r="G23" s="654"/>
      <c r="H23" s="655" t="s">
        <v>1766</v>
      </c>
      <c r="I23" s="648" t="s">
        <v>149</v>
      </c>
      <c r="J23" s="650"/>
      <c r="K23" s="648" t="s">
        <v>369</v>
      </c>
    </row>
    <row r="24" spans="1:11" ht="28.05" customHeight="1">
      <c r="A24" s="658"/>
      <c r="B24" s="678"/>
      <c r="C24" s="679"/>
      <c r="D24" s="649"/>
      <c r="E24" s="649"/>
      <c r="F24" s="442" t="s">
        <v>1764</v>
      </c>
      <c r="G24" s="443" t="s">
        <v>1765</v>
      </c>
      <c r="H24" s="656"/>
      <c r="I24" s="649"/>
      <c r="J24" s="651"/>
      <c r="K24" s="649"/>
    </row>
    <row r="25" spans="1:11" ht="43.05" customHeight="1">
      <c r="A25" s="658"/>
      <c r="B25" s="680" t="s">
        <v>383</v>
      </c>
      <c r="C25" s="681"/>
      <c r="D25" s="416">
        <f>K16+K17</f>
        <v>83</v>
      </c>
      <c r="E25" s="416">
        <f>K18+K19</f>
        <v>19</v>
      </c>
      <c r="F25" s="416">
        <f>E20+E22</f>
        <v>10</v>
      </c>
      <c r="G25" s="482">
        <v>3</v>
      </c>
      <c r="H25" s="482">
        <v>2</v>
      </c>
      <c r="I25" s="416">
        <f>F5+G5</f>
        <v>4</v>
      </c>
      <c r="J25" s="652"/>
      <c r="K25" s="416">
        <f>SUM(D25:I25)</f>
        <v>121</v>
      </c>
    </row>
    <row r="26" spans="1:11" ht="15.6">
      <c r="A26" s="419"/>
      <c r="B26" s="419"/>
      <c r="C26" s="419"/>
      <c r="D26" s="419"/>
      <c r="E26" s="419"/>
      <c r="F26" s="419"/>
      <c r="G26" s="419"/>
      <c r="H26" s="419"/>
      <c r="I26" s="419"/>
      <c r="J26" s="419"/>
      <c r="K26" s="419"/>
    </row>
  </sheetData>
  <mergeCells count="46">
    <mergeCell ref="A9:A10"/>
    <mergeCell ref="A11:A12"/>
    <mergeCell ref="B11:C11"/>
    <mergeCell ref="B12:C12"/>
    <mergeCell ref="A13:A14"/>
    <mergeCell ref="B13:C13"/>
    <mergeCell ref="B14:C14"/>
    <mergeCell ref="B9:C9"/>
    <mergeCell ref="B10:C10"/>
    <mergeCell ref="A5:C5"/>
    <mergeCell ref="A6:A7"/>
    <mergeCell ref="B6:C6"/>
    <mergeCell ref="B7:C7"/>
    <mergeCell ref="B8:C8"/>
    <mergeCell ref="A1:K1"/>
    <mergeCell ref="A2:A4"/>
    <mergeCell ref="B2:C4"/>
    <mergeCell ref="D2:E3"/>
    <mergeCell ref="F2:G3"/>
    <mergeCell ref="H2:H4"/>
    <mergeCell ref="I2:I4"/>
    <mergeCell ref="J2:J4"/>
    <mergeCell ref="K2:K4"/>
    <mergeCell ref="A15:A25"/>
    <mergeCell ref="B15:C15"/>
    <mergeCell ref="D15:K15"/>
    <mergeCell ref="B16:C16"/>
    <mergeCell ref="F16:H22"/>
    <mergeCell ref="I16:J16"/>
    <mergeCell ref="B17:C17"/>
    <mergeCell ref="I17:J17"/>
    <mergeCell ref="B18:C18"/>
    <mergeCell ref="I18:J18"/>
    <mergeCell ref="B19:C19"/>
    <mergeCell ref="I19:J19"/>
    <mergeCell ref="B20:C22"/>
    <mergeCell ref="B25:C25"/>
    <mergeCell ref="I20:K22"/>
    <mergeCell ref="B23:C24"/>
    <mergeCell ref="K23:K24"/>
    <mergeCell ref="J23:J25"/>
    <mergeCell ref="D23:D24"/>
    <mergeCell ref="E23:E24"/>
    <mergeCell ref="F23:G23"/>
    <mergeCell ref="H23:H24"/>
    <mergeCell ref="I23:I24"/>
  </mergeCells>
  <pageMargins left="0.7" right="0.7" top="0.75" bottom="0.75" header="0.3" footer="0.3"/>
  <pageSetup paperSize="9" scale="58" orientation="portrait" horizontalDpi="0"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2F5B5-4EFE-C24F-A072-513976181A5B}">
  <sheetPr>
    <tabColor rgb="FF00FF00"/>
    <outlinePr summaryBelow="0"/>
  </sheetPr>
  <dimension ref="A1:AH139"/>
  <sheetViews>
    <sheetView rightToLeft="1" workbookViewId="0"/>
  </sheetViews>
  <sheetFormatPr defaultColWidth="13.296875" defaultRowHeight="13.8"/>
  <cols>
    <col min="1" max="1" width="6.296875" style="195" bestFit="1" customWidth="1"/>
    <col min="2" max="2" width="7.796875" style="195" bestFit="1" customWidth="1"/>
    <col min="3" max="3" width="22.19921875" style="195" bestFit="1" customWidth="1"/>
    <col min="4" max="4" width="22.19921875" style="195" customWidth="1"/>
    <col min="5" max="5" width="19.796875" style="195" bestFit="1" customWidth="1"/>
    <col min="6" max="6" width="8.5" style="195" bestFit="1" customWidth="1"/>
    <col min="7" max="7" width="9.296875" style="195" bestFit="1" customWidth="1"/>
    <col min="8" max="8" width="10.19921875" style="195" bestFit="1" customWidth="1"/>
    <col min="9" max="9" width="8.5" style="195" bestFit="1" customWidth="1"/>
    <col min="10" max="10" width="10.5" style="195" bestFit="1" customWidth="1"/>
    <col min="11" max="11" width="9.19921875" style="195" bestFit="1" customWidth="1"/>
    <col min="12" max="12" width="7.19921875" style="195" bestFit="1" customWidth="1"/>
    <col min="13" max="13" width="5.796875" style="195" bestFit="1" customWidth="1"/>
    <col min="14" max="14" width="9.69921875" style="195" bestFit="1" customWidth="1"/>
    <col min="15" max="15" width="7.19921875" style="195" bestFit="1" customWidth="1"/>
    <col min="16" max="17" width="11.796875" style="195" bestFit="1" customWidth="1"/>
    <col min="18" max="18" width="12" style="195" bestFit="1" customWidth="1"/>
    <col min="19" max="19" width="14.19921875" style="195" bestFit="1" customWidth="1"/>
    <col min="20" max="20" width="8" style="195" bestFit="1" customWidth="1"/>
    <col min="21" max="21" width="10.19921875" style="195" bestFit="1" customWidth="1"/>
    <col min="22" max="22" width="7.69921875" style="195" bestFit="1" customWidth="1"/>
    <col min="23" max="23" width="10.19921875" style="195" bestFit="1" customWidth="1"/>
    <col min="24" max="24" width="24.5" style="195" bestFit="1" customWidth="1"/>
    <col min="25" max="25" width="7.796875" style="195" bestFit="1" customWidth="1"/>
    <col min="26" max="26" width="9.796875" style="195" bestFit="1" customWidth="1"/>
    <col min="27" max="27" width="10.5" style="195" bestFit="1" customWidth="1"/>
    <col min="28" max="28" width="13.796875" style="195" bestFit="1" customWidth="1"/>
    <col min="29" max="29" width="7" style="195" bestFit="1" customWidth="1"/>
    <col min="30" max="30" width="21.796875" style="195" bestFit="1" customWidth="1"/>
    <col min="31" max="31" width="6" style="195" bestFit="1" customWidth="1"/>
    <col min="32" max="32" width="4.69921875" style="195" bestFit="1" customWidth="1"/>
    <col min="33" max="33" width="5" style="195" bestFit="1" customWidth="1"/>
    <col min="34" max="34" width="9" style="195" bestFit="1" customWidth="1"/>
    <col min="35" max="16384" width="13.296875" style="195"/>
  </cols>
  <sheetData>
    <row r="1" spans="1:34" ht="39" customHeight="1">
      <c r="A1" s="192" t="s">
        <v>542</v>
      </c>
      <c r="B1" s="192" t="s">
        <v>25</v>
      </c>
      <c r="C1" s="192" t="s">
        <v>106</v>
      </c>
      <c r="D1" s="193" t="s">
        <v>26</v>
      </c>
      <c r="E1" s="192" t="s">
        <v>543</v>
      </c>
      <c r="F1" s="192" t="s">
        <v>229</v>
      </c>
      <c r="G1" s="192" t="s">
        <v>228</v>
      </c>
      <c r="H1" s="192" t="s">
        <v>108</v>
      </c>
      <c r="I1" s="192" t="s">
        <v>109</v>
      </c>
      <c r="J1" s="192" t="s">
        <v>231</v>
      </c>
      <c r="K1" s="192" t="s">
        <v>235</v>
      </c>
      <c r="L1" s="192" t="s">
        <v>232</v>
      </c>
      <c r="M1" s="192" t="s">
        <v>544</v>
      </c>
      <c r="N1" s="192" t="s">
        <v>545</v>
      </c>
      <c r="O1" s="192" t="s">
        <v>546</v>
      </c>
      <c r="P1" s="192" t="s">
        <v>547</v>
      </c>
      <c r="Q1" s="192" t="s">
        <v>230</v>
      </c>
      <c r="R1" s="192" t="s">
        <v>548</v>
      </c>
      <c r="S1" s="192" t="s">
        <v>549</v>
      </c>
      <c r="T1" s="192" t="s">
        <v>550</v>
      </c>
      <c r="U1" s="192" t="s">
        <v>169</v>
      </c>
      <c r="V1" s="192" t="s">
        <v>551</v>
      </c>
      <c r="W1" s="192" t="s">
        <v>552</v>
      </c>
      <c r="X1" s="192" t="s">
        <v>236</v>
      </c>
      <c r="Y1" s="192" t="s">
        <v>553</v>
      </c>
      <c r="Z1" s="192" t="s">
        <v>554</v>
      </c>
      <c r="AA1" s="192" t="s">
        <v>555</v>
      </c>
      <c r="AB1" s="192" t="s">
        <v>556</v>
      </c>
      <c r="AC1" s="192" t="s">
        <v>234</v>
      </c>
      <c r="AD1" s="192" t="s">
        <v>233</v>
      </c>
      <c r="AE1" s="192" t="s">
        <v>557</v>
      </c>
      <c r="AF1" s="192" t="s">
        <v>558</v>
      </c>
      <c r="AG1" s="192" t="s">
        <v>111</v>
      </c>
      <c r="AH1" s="194" t="s">
        <v>107</v>
      </c>
    </row>
    <row r="2" spans="1:34" ht="14.25" customHeight="1">
      <c r="A2" s="196">
        <v>24</v>
      </c>
      <c r="B2" s="197" t="s">
        <v>4</v>
      </c>
      <c r="C2" s="197" t="s">
        <v>559</v>
      </c>
      <c r="D2" s="197"/>
      <c r="E2" s="197" t="s">
        <v>151</v>
      </c>
      <c r="F2" s="198">
        <v>31370</v>
      </c>
      <c r="G2" s="197" t="s">
        <v>560</v>
      </c>
      <c r="H2" s="198">
        <v>40974</v>
      </c>
      <c r="I2" s="198">
        <v>40974</v>
      </c>
      <c r="J2" s="197" t="s">
        <v>242</v>
      </c>
      <c r="K2" s="196" t="s">
        <v>112</v>
      </c>
      <c r="L2" s="197" t="s">
        <v>118</v>
      </c>
      <c r="M2" s="197" t="s">
        <v>561</v>
      </c>
      <c r="N2" s="197" t="s">
        <v>562</v>
      </c>
      <c r="O2" s="197" t="s">
        <v>118</v>
      </c>
      <c r="P2" s="197" t="s">
        <v>563</v>
      </c>
      <c r="Q2" s="197" t="s">
        <v>66</v>
      </c>
      <c r="R2" s="196"/>
      <c r="S2" s="197" t="s">
        <v>564</v>
      </c>
      <c r="T2" s="197" t="s">
        <v>565</v>
      </c>
      <c r="U2" s="197" t="s">
        <v>566</v>
      </c>
      <c r="V2" s="196"/>
      <c r="W2" s="196"/>
      <c r="X2" s="197" t="s">
        <v>567</v>
      </c>
      <c r="Y2" s="196"/>
      <c r="Z2" s="196"/>
      <c r="AA2" s="199"/>
      <c r="AB2" s="199"/>
      <c r="AC2" s="197" t="s">
        <v>245</v>
      </c>
      <c r="AD2" s="197" t="s">
        <v>568</v>
      </c>
      <c r="AE2" s="197" t="s">
        <v>569</v>
      </c>
      <c r="AF2" s="196" t="s">
        <v>563</v>
      </c>
      <c r="AG2" s="197" t="s">
        <v>114</v>
      </c>
      <c r="AH2" s="197" t="s">
        <v>570</v>
      </c>
    </row>
    <row r="3" spans="1:34" ht="14.25" customHeight="1">
      <c r="A3" s="200">
        <v>25</v>
      </c>
      <c r="B3" s="201" t="s">
        <v>149</v>
      </c>
      <c r="C3" s="201" t="s">
        <v>571</v>
      </c>
      <c r="D3" s="201"/>
      <c r="E3" s="201" t="s">
        <v>572</v>
      </c>
      <c r="F3" s="202">
        <v>32242</v>
      </c>
      <c r="G3" s="201" t="s">
        <v>573</v>
      </c>
      <c r="H3" s="202">
        <v>40813</v>
      </c>
      <c r="I3" s="202">
        <v>40813</v>
      </c>
      <c r="J3" s="201" t="s">
        <v>242</v>
      </c>
      <c r="K3" s="200" t="s">
        <v>112</v>
      </c>
      <c r="L3" s="201" t="s">
        <v>118</v>
      </c>
      <c r="M3" s="201" t="s">
        <v>561</v>
      </c>
      <c r="N3" s="201" t="s">
        <v>562</v>
      </c>
      <c r="O3" s="201" t="s">
        <v>118</v>
      </c>
      <c r="P3" s="201" t="s">
        <v>563</v>
      </c>
      <c r="Q3" s="201" t="s">
        <v>574</v>
      </c>
      <c r="R3" s="200"/>
      <c r="S3" s="201" t="s">
        <v>575</v>
      </c>
      <c r="T3" s="201" t="s">
        <v>576</v>
      </c>
      <c r="U3" s="201" t="s">
        <v>577</v>
      </c>
      <c r="V3" s="200"/>
      <c r="W3" s="200"/>
      <c r="X3" s="201" t="s">
        <v>578</v>
      </c>
      <c r="Y3" s="200"/>
      <c r="Z3" s="200"/>
      <c r="AA3" s="203"/>
      <c r="AB3" s="203"/>
      <c r="AC3" s="201" t="s">
        <v>245</v>
      </c>
      <c r="AD3" s="201" t="s">
        <v>579</v>
      </c>
      <c r="AE3" s="201" t="s">
        <v>580</v>
      </c>
      <c r="AF3" s="200" t="s">
        <v>563</v>
      </c>
      <c r="AG3" s="201" t="s">
        <v>114</v>
      </c>
      <c r="AH3" s="201" t="s">
        <v>570</v>
      </c>
    </row>
    <row r="4" spans="1:34" ht="14.25" customHeight="1">
      <c r="A4" s="196">
        <v>26</v>
      </c>
      <c r="B4" s="197" t="s">
        <v>4</v>
      </c>
      <c r="C4" s="197" t="s">
        <v>581</v>
      </c>
      <c r="D4" s="197"/>
      <c r="E4" s="197" t="s">
        <v>151</v>
      </c>
      <c r="F4" s="198">
        <v>23449</v>
      </c>
      <c r="G4" s="197" t="s">
        <v>582</v>
      </c>
      <c r="H4" s="198">
        <v>42631</v>
      </c>
      <c r="I4" s="198">
        <v>42631</v>
      </c>
      <c r="J4" s="197" t="s">
        <v>242</v>
      </c>
      <c r="K4" s="196" t="s">
        <v>112</v>
      </c>
      <c r="L4" s="197" t="s">
        <v>118</v>
      </c>
      <c r="M4" s="197" t="s">
        <v>561</v>
      </c>
      <c r="N4" s="197" t="s">
        <v>562</v>
      </c>
      <c r="O4" s="197" t="s">
        <v>118</v>
      </c>
      <c r="P4" s="197" t="s">
        <v>563</v>
      </c>
      <c r="Q4" s="197" t="s">
        <v>66</v>
      </c>
      <c r="R4" s="196"/>
      <c r="S4" s="197" t="s">
        <v>583</v>
      </c>
      <c r="T4" s="197" t="s">
        <v>584</v>
      </c>
      <c r="U4" s="197" t="s">
        <v>585</v>
      </c>
      <c r="V4" s="196"/>
      <c r="W4" s="196"/>
      <c r="X4" s="197" t="s">
        <v>586</v>
      </c>
      <c r="Y4" s="196"/>
      <c r="Z4" s="196"/>
      <c r="AA4" s="199"/>
      <c r="AB4" s="199"/>
      <c r="AC4" s="197" t="s">
        <v>245</v>
      </c>
      <c r="AD4" s="197" t="s">
        <v>587</v>
      </c>
      <c r="AE4" s="197" t="s">
        <v>588</v>
      </c>
      <c r="AF4" s="196" t="s">
        <v>563</v>
      </c>
      <c r="AG4" s="197" t="s">
        <v>114</v>
      </c>
      <c r="AH4" s="197" t="s">
        <v>570</v>
      </c>
    </row>
    <row r="5" spans="1:34" ht="14.25" customHeight="1">
      <c r="A5" s="200">
        <v>27</v>
      </c>
      <c r="B5" s="201" t="s">
        <v>4</v>
      </c>
      <c r="C5" s="201" t="s">
        <v>589</v>
      </c>
      <c r="D5" s="201"/>
      <c r="E5" s="201" t="s">
        <v>151</v>
      </c>
      <c r="F5" s="202">
        <v>32599</v>
      </c>
      <c r="G5" s="201" t="s">
        <v>590</v>
      </c>
      <c r="H5" s="202">
        <v>42634</v>
      </c>
      <c r="I5" s="202">
        <v>42634</v>
      </c>
      <c r="J5" s="201" t="s">
        <v>242</v>
      </c>
      <c r="K5" s="200" t="s">
        <v>112</v>
      </c>
      <c r="L5" s="201" t="s">
        <v>118</v>
      </c>
      <c r="M5" s="201" t="s">
        <v>561</v>
      </c>
      <c r="N5" s="201" t="s">
        <v>591</v>
      </c>
      <c r="O5" s="201" t="s">
        <v>118</v>
      </c>
      <c r="P5" s="201" t="s">
        <v>563</v>
      </c>
      <c r="Q5" s="201" t="s">
        <v>66</v>
      </c>
      <c r="R5" s="200"/>
      <c r="S5" s="201" t="s">
        <v>592</v>
      </c>
      <c r="T5" s="201" t="s">
        <v>584</v>
      </c>
      <c r="U5" s="201" t="s">
        <v>593</v>
      </c>
      <c r="V5" s="200"/>
      <c r="W5" s="200"/>
      <c r="X5" s="201" t="s">
        <v>594</v>
      </c>
      <c r="Y5" s="200"/>
      <c r="Z5" s="200"/>
      <c r="AA5" s="203"/>
      <c r="AB5" s="203"/>
      <c r="AC5" s="201" t="s">
        <v>245</v>
      </c>
      <c r="AD5" s="201" t="s">
        <v>595</v>
      </c>
      <c r="AE5" s="201" t="s">
        <v>596</v>
      </c>
      <c r="AF5" s="200" t="s">
        <v>563</v>
      </c>
      <c r="AG5" s="201" t="s">
        <v>114</v>
      </c>
      <c r="AH5" s="201" t="s">
        <v>570</v>
      </c>
    </row>
    <row r="6" spans="1:34" ht="14.25" customHeight="1">
      <c r="A6" s="196">
        <v>28</v>
      </c>
      <c r="B6" s="197" t="s">
        <v>4</v>
      </c>
      <c r="C6" s="197" t="s">
        <v>478</v>
      </c>
      <c r="D6" s="197"/>
      <c r="E6" s="197" t="s">
        <v>151</v>
      </c>
      <c r="F6" s="198">
        <v>30478</v>
      </c>
      <c r="G6" s="197" t="s">
        <v>597</v>
      </c>
      <c r="H6" s="198">
        <v>42647</v>
      </c>
      <c r="I6" s="198">
        <v>42647</v>
      </c>
      <c r="J6" s="197" t="s">
        <v>242</v>
      </c>
      <c r="K6" s="196" t="s">
        <v>112</v>
      </c>
      <c r="L6" s="197" t="s">
        <v>118</v>
      </c>
      <c r="M6" s="197" t="s">
        <v>561</v>
      </c>
      <c r="N6" s="197" t="s">
        <v>562</v>
      </c>
      <c r="O6" s="197" t="s">
        <v>118</v>
      </c>
      <c r="P6" s="197" t="s">
        <v>563</v>
      </c>
      <c r="Q6" s="197" t="s">
        <v>66</v>
      </c>
      <c r="R6" s="196"/>
      <c r="S6" s="197" t="s">
        <v>598</v>
      </c>
      <c r="T6" s="197" t="s">
        <v>584</v>
      </c>
      <c r="U6" s="197" t="s">
        <v>599</v>
      </c>
      <c r="V6" s="196"/>
      <c r="W6" s="196"/>
      <c r="X6" s="197" t="s">
        <v>600</v>
      </c>
      <c r="Y6" s="196"/>
      <c r="Z6" s="196"/>
      <c r="AA6" s="199"/>
      <c r="AB6" s="199"/>
      <c r="AC6" s="197" t="s">
        <v>245</v>
      </c>
      <c r="AD6" s="197" t="s">
        <v>601</v>
      </c>
      <c r="AE6" s="197" t="s">
        <v>602</v>
      </c>
      <c r="AF6" s="196" t="s">
        <v>563</v>
      </c>
      <c r="AG6" s="197" t="s">
        <v>114</v>
      </c>
      <c r="AH6" s="197" t="s">
        <v>570</v>
      </c>
    </row>
    <row r="7" spans="1:34" ht="14.25" customHeight="1">
      <c r="A7" s="200">
        <v>29</v>
      </c>
      <c r="B7" s="201" t="s">
        <v>4</v>
      </c>
      <c r="C7" s="201" t="s">
        <v>521</v>
      </c>
      <c r="D7" s="201"/>
      <c r="E7" s="201" t="s">
        <v>151</v>
      </c>
      <c r="F7" s="202">
        <v>25231</v>
      </c>
      <c r="G7" s="201" t="s">
        <v>603</v>
      </c>
      <c r="H7" s="202">
        <v>44430</v>
      </c>
      <c r="I7" s="202">
        <v>44430</v>
      </c>
      <c r="J7" s="201" t="s">
        <v>242</v>
      </c>
      <c r="K7" s="200" t="s">
        <v>112</v>
      </c>
      <c r="L7" s="201" t="s">
        <v>379</v>
      </c>
      <c r="M7" s="201" t="s">
        <v>561</v>
      </c>
      <c r="N7" s="201" t="s">
        <v>562</v>
      </c>
      <c r="O7" s="201" t="s">
        <v>379</v>
      </c>
      <c r="P7" s="201" t="s">
        <v>563</v>
      </c>
      <c r="Q7" s="201" t="s">
        <v>66</v>
      </c>
      <c r="R7" s="200"/>
      <c r="S7" s="201" t="s">
        <v>604</v>
      </c>
      <c r="T7" s="201" t="s">
        <v>605</v>
      </c>
      <c r="U7" s="201" t="s">
        <v>606</v>
      </c>
      <c r="V7" s="200"/>
      <c r="W7" s="200"/>
      <c r="X7" s="201" t="s">
        <v>607</v>
      </c>
      <c r="Y7" s="200"/>
      <c r="Z7" s="200"/>
      <c r="AA7" s="203"/>
      <c r="AB7" s="203"/>
      <c r="AC7" s="201" t="s">
        <v>245</v>
      </c>
      <c r="AD7" s="201" t="s">
        <v>608</v>
      </c>
      <c r="AE7" s="201" t="s">
        <v>609</v>
      </c>
      <c r="AF7" s="200" t="s">
        <v>563</v>
      </c>
      <c r="AG7" s="201" t="s">
        <v>114</v>
      </c>
      <c r="AH7" s="201" t="s">
        <v>570</v>
      </c>
    </row>
    <row r="8" spans="1:34" ht="14.25" customHeight="1">
      <c r="A8" s="196">
        <v>30</v>
      </c>
      <c r="B8" s="197" t="s">
        <v>6</v>
      </c>
      <c r="C8" s="197" t="s">
        <v>610</v>
      </c>
      <c r="D8" s="197"/>
      <c r="E8" s="197" t="s">
        <v>572</v>
      </c>
      <c r="F8" s="198">
        <v>35797</v>
      </c>
      <c r="G8" s="197" t="s">
        <v>611</v>
      </c>
      <c r="H8" s="198">
        <v>44452</v>
      </c>
      <c r="I8" s="198">
        <v>44452</v>
      </c>
      <c r="J8" s="197" t="s">
        <v>242</v>
      </c>
      <c r="K8" s="196" t="s">
        <v>112</v>
      </c>
      <c r="L8" s="197" t="s">
        <v>132</v>
      </c>
      <c r="M8" s="197" t="s">
        <v>561</v>
      </c>
      <c r="N8" s="197" t="s">
        <v>591</v>
      </c>
      <c r="O8" s="197" t="s">
        <v>132</v>
      </c>
      <c r="P8" s="197" t="s">
        <v>563</v>
      </c>
      <c r="Q8" s="197" t="s">
        <v>612</v>
      </c>
      <c r="R8" s="196"/>
      <c r="S8" s="197" t="s">
        <v>613</v>
      </c>
      <c r="T8" s="197" t="s">
        <v>605</v>
      </c>
      <c r="U8" s="197" t="s">
        <v>614</v>
      </c>
      <c r="V8" s="196"/>
      <c r="W8" s="196"/>
      <c r="X8" s="197" t="s">
        <v>615</v>
      </c>
      <c r="Y8" s="196"/>
      <c r="Z8" s="196"/>
      <c r="AA8" s="199"/>
      <c r="AB8" s="199"/>
      <c r="AC8" s="197" t="s">
        <v>245</v>
      </c>
      <c r="AD8" s="197" t="s">
        <v>616</v>
      </c>
      <c r="AE8" s="197" t="s">
        <v>617</v>
      </c>
      <c r="AF8" s="196" t="s">
        <v>563</v>
      </c>
      <c r="AG8" s="197" t="s">
        <v>114</v>
      </c>
      <c r="AH8" s="197" t="s">
        <v>570</v>
      </c>
    </row>
    <row r="9" spans="1:34" ht="14.25" customHeight="1">
      <c r="A9" s="200">
        <v>33</v>
      </c>
      <c r="B9" s="201" t="s">
        <v>6</v>
      </c>
      <c r="C9" s="201" t="s">
        <v>505</v>
      </c>
      <c r="D9" s="201"/>
      <c r="E9" s="201" t="s">
        <v>151</v>
      </c>
      <c r="F9" s="202">
        <v>31004</v>
      </c>
      <c r="G9" s="201" t="s">
        <v>618</v>
      </c>
      <c r="H9" s="202">
        <v>39732</v>
      </c>
      <c r="I9" s="202">
        <v>39732</v>
      </c>
      <c r="J9" s="201" t="s">
        <v>242</v>
      </c>
      <c r="K9" s="200" t="s">
        <v>112</v>
      </c>
      <c r="L9" s="201" t="s">
        <v>118</v>
      </c>
      <c r="M9" s="201" t="s">
        <v>561</v>
      </c>
      <c r="N9" s="201" t="s">
        <v>562</v>
      </c>
      <c r="O9" s="201" t="s">
        <v>118</v>
      </c>
      <c r="P9" s="201" t="s">
        <v>563</v>
      </c>
      <c r="Q9" s="201" t="s">
        <v>66</v>
      </c>
      <c r="R9" s="200"/>
      <c r="S9" s="201" t="s">
        <v>619</v>
      </c>
      <c r="T9" s="201" t="s">
        <v>620</v>
      </c>
      <c r="U9" s="201" t="s">
        <v>621</v>
      </c>
      <c r="V9" s="200"/>
      <c r="W9" s="200"/>
      <c r="X9" s="201" t="s">
        <v>622</v>
      </c>
      <c r="Y9" s="200"/>
      <c r="Z9" s="200"/>
      <c r="AA9" s="203"/>
      <c r="AB9" s="203"/>
      <c r="AC9" s="201" t="s">
        <v>245</v>
      </c>
      <c r="AD9" s="201" t="s">
        <v>623</v>
      </c>
      <c r="AE9" s="201" t="s">
        <v>624</v>
      </c>
      <c r="AF9" s="200" t="s">
        <v>563</v>
      </c>
      <c r="AG9" s="201" t="s">
        <v>114</v>
      </c>
      <c r="AH9" s="201" t="s">
        <v>570</v>
      </c>
    </row>
    <row r="10" spans="1:34" ht="14.25" customHeight="1">
      <c r="A10" s="196">
        <v>44</v>
      </c>
      <c r="B10" s="197" t="s">
        <v>7</v>
      </c>
      <c r="C10" s="197" t="s">
        <v>625</v>
      </c>
      <c r="D10" s="197"/>
      <c r="E10" s="197" t="s">
        <v>151</v>
      </c>
      <c r="F10" s="198">
        <v>30205</v>
      </c>
      <c r="G10" s="197" t="s">
        <v>626</v>
      </c>
      <c r="H10" s="198">
        <v>40987</v>
      </c>
      <c r="I10" s="198">
        <v>40987</v>
      </c>
      <c r="J10" s="197" t="s">
        <v>242</v>
      </c>
      <c r="K10" s="196" t="s">
        <v>112</v>
      </c>
      <c r="L10" s="197" t="s">
        <v>118</v>
      </c>
      <c r="M10" s="197" t="s">
        <v>561</v>
      </c>
      <c r="N10" s="197" t="s">
        <v>562</v>
      </c>
      <c r="O10" s="197" t="s">
        <v>118</v>
      </c>
      <c r="P10" s="197" t="s">
        <v>563</v>
      </c>
      <c r="Q10" s="197" t="s">
        <v>66</v>
      </c>
      <c r="R10" s="196"/>
      <c r="S10" s="197" t="s">
        <v>627</v>
      </c>
      <c r="T10" s="197" t="s">
        <v>565</v>
      </c>
      <c r="U10" s="197" t="s">
        <v>628</v>
      </c>
      <c r="V10" s="197"/>
      <c r="W10" s="197"/>
      <c r="X10" s="197" t="s">
        <v>629</v>
      </c>
      <c r="Y10" s="196"/>
      <c r="Z10" s="196"/>
      <c r="AA10" s="199"/>
      <c r="AB10" s="199"/>
      <c r="AC10" s="197" t="s">
        <v>245</v>
      </c>
      <c r="AD10" s="197" t="s">
        <v>630</v>
      </c>
      <c r="AE10" s="197" t="s">
        <v>631</v>
      </c>
      <c r="AF10" s="196" t="s">
        <v>563</v>
      </c>
      <c r="AG10" s="197" t="s">
        <v>114</v>
      </c>
      <c r="AH10" s="197" t="s">
        <v>570</v>
      </c>
    </row>
    <row r="11" spans="1:34" ht="14.25" customHeight="1">
      <c r="A11" s="200">
        <v>47</v>
      </c>
      <c r="B11" s="201" t="s">
        <v>7</v>
      </c>
      <c r="C11" s="201" t="s">
        <v>632</v>
      </c>
      <c r="D11" s="201"/>
      <c r="E11" s="201" t="s">
        <v>151</v>
      </c>
      <c r="F11" s="202">
        <v>31053</v>
      </c>
      <c r="G11" s="201" t="s">
        <v>633</v>
      </c>
      <c r="H11" s="202">
        <v>42386</v>
      </c>
      <c r="I11" s="202">
        <v>42386</v>
      </c>
      <c r="J11" s="201" t="s">
        <v>242</v>
      </c>
      <c r="K11" s="200" t="s">
        <v>112</v>
      </c>
      <c r="L11" s="201" t="s">
        <v>118</v>
      </c>
      <c r="M11" s="201" t="s">
        <v>561</v>
      </c>
      <c r="N11" s="201" t="s">
        <v>591</v>
      </c>
      <c r="O11" s="201" t="s">
        <v>118</v>
      </c>
      <c r="P11" s="201" t="s">
        <v>563</v>
      </c>
      <c r="Q11" s="201" t="s">
        <v>66</v>
      </c>
      <c r="R11" s="200"/>
      <c r="S11" s="201" t="s">
        <v>634</v>
      </c>
      <c r="T11" s="201" t="s">
        <v>584</v>
      </c>
      <c r="U11" s="201" t="s">
        <v>635</v>
      </c>
      <c r="V11" s="200"/>
      <c r="W11" s="200"/>
      <c r="X11" s="201" t="s">
        <v>636</v>
      </c>
      <c r="Y11" s="200"/>
      <c r="Z11" s="200"/>
      <c r="AA11" s="203"/>
      <c r="AB11" s="203"/>
      <c r="AC11" s="201" t="s">
        <v>245</v>
      </c>
      <c r="AD11" s="201" t="s">
        <v>637</v>
      </c>
      <c r="AE11" s="201" t="s">
        <v>638</v>
      </c>
      <c r="AF11" s="200" t="s">
        <v>563</v>
      </c>
      <c r="AG11" s="201" t="s">
        <v>114</v>
      </c>
      <c r="AH11" s="201" t="s">
        <v>570</v>
      </c>
    </row>
    <row r="12" spans="1:34" ht="14.25" customHeight="1">
      <c r="A12" s="196">
        <v>62</v>
      </c>
      <c r="B12" s="197" t="s">
        <v>7</v>
      </c>
      <c r="C12" s="197" t="s">
        <v>639</v>
      </c>
      <c r="D12" s="197"/>
      <c r="E12" s="197" t="s">
        <v>151</v>
      </c>
      <c r="F12" s="198">
        <v>35642</v>
      </c>
      <c r="G12" s="197" t="s">
        <v>640</v>
      </c>
      <c r="H12" s="198">
        <v>44445</v>
      </c>
      <c r="I12" s="198">
        <v>44445</v>
      </c>
      <c r="J12" s="197" t="s">
        <v>258</v>
      </c>
      <c r="K12" s="196" t="s">
        <v>112</v>
      </c>
      <c r="L12" s="197" t="s">
        <v>113</v>
      </c>
      <c r="M12" s="197" t="s">
        <v>561</v>
      </c>
      <c r="N12" s="197" t="s">
        <v>591</v>
      </c>
      <c r="O12" s="197" t="s">
        <v>113</v>
      </c>
      <c r="P12" s="197" t="s">
        <v>563</v>
      </c>
      <c r="Q12" s="197" t="s">
        <v>66</v>
      </c>
      <c r="R12" s="196"/>
      <c r="S12" s="197" t="s">
        <v>641</v>
      </c>
      <c r="T12" s="197" t="s">
        <v>605</v>
      </c>
      <c r="U12" s="197" t="s">
        <v>642</v>
      </c>
      <c r="V12" s="196"/>
      <c r="W12" s="196"/>
      <c r="X12" s="197" t="s">
        <v>643</v>
      </c>
      <c r="Y12" s="196"/>
      <c r="Z12" s="196"/>
      <c r="AA12" s="199"/>
      <c r="AB12" s="199"/>
      <c r="AC12" s="197" t="s">
        <v>245</v>
      </c>
      <c r="AD12" s="197" t="s">
        <v>644</v>
      </c>
      <c r="AE12" s="197" t="s">
        <v>645</v>
      </c>
      <c r="AF12" s="196" t="s">
        <v>563</v>
      </c>
      <c r="AG12" s="197" t="s">
        <v>114</v>
      </c>
      <c r="AH12" s="197" t="s">
        <v>570</v>
      </c>
    </row>
    <row r="13" spans="1:34" ht="14.25" customHeight="1">
      <c r="A13" s="200">
        <v>65</v>
      </c>
      <c r="B13" s="201" t="s">
        <v>6</v>
      </c>
      <c r="C13" s="201" t="s">
        <v>646</v>
      </c>
      <c r="D13" s="201"/>
      <c r="E13" s="201" t="s">
        <v>151</v>
      </c>
      <c r="F13" s="202">
        <v>33103</v>
      </c>
      <c r="G13" s="201" t="s">
        <v>647</v>
      </c>
      <c r="H13" s="202">
        <v>44593</v>
      </c>
      <c r="I13" s="202">
        <v>44593</v>
      </c>
      <c r="J13" s="201" t="s">
        <v>258</v>
      </c>
      <c r="K13" s="200" t="s">
        <v>112</v>
      </c>
      <c r="L13" s="201" t="s">
        <v>113</v>
      </c>
      <c r="M13" s="201" t="s">
        <v>561</v>
      </c>
      <c r="N13" s="201" t="s">
        <v>591</v>
      </c>
      <c r="O13" s="201" t="s">
        <v>113</v>
      </c>
      <c r="P13" s="201" t="s">
        <v>563</v>
      </c>
      <c r="Q13" s="201" t="s">
        <v>66</v>
      </c>
      <c r="R13" s="200"/>
      <c r="S13" s="201" t="s">
        <v>648</v>
      </c>
      <c r="T13" s="201" t="s">
        <v>649</v>
      </c>
      <c r="U13" s="201" t="s">
        <v>650</v>
      </c>
      <c r="V13" s="200"/>
      <c r="W13" s="200"/>
      <c r="X13" s="201" t="s">
        <v>651</v>
      </c>
      <c r="Y13" s="200"/>
      <c r="Z13" s="200"/>
      <c r="AA13" s="203"/>
      <c r="AB13" s="203"/>
      <c r="AC13" s="201" t="s">
        <v>245</v>
      </c>
      <c r="AD13" s="201" t="s">
        <v>652</v>
      </c>
      <c r="AE13" s="201" t="s">
        <v>653</v>
      </c>
      <c r="AF13" s="200" t="s">
        <v>563</v>
      </c>
      <c r="AG13" s="201" t="s">
        <v>114</v>
      </c>
      <c r="AH13" s="201" t="s">
        <v>570</v>
      </c>
    </row>
    <row r="14" spans="1:34" ht="14.25" customHeight="1">
      <c r="A14" s="196">
        <v>68</v>
      </c>
      <c r="B14" s="197" t="s">
        <v>4</v>
      </c>
      <c r="C14" s="197" t="s">
        <v>654</v>
      </c>
      <c r="D14" s="197"/>
      <c r="E14" s="197" t="s">
        <v>151</v>
      </c>
      <c r="F14" s="198">
        <v>30886</v>
      </c>
      <c r="G14" s="197" t="s">
        <v>655</v>
      </c>
      <c r="H14" s="198">
        <v>40457</v>
      </c>
      <c r="I14" s="198">
        <v>40457</v>
      </c>
      <c r="J14" s="197" t="s">
        <v>242</v>
      </c>
      <c r="K14" s="196" t="s">
        <v>112</v>
      </c>
      <c r="L14" s="197" t="s">
        <v>118</v>
      </c>
      <c r="M14" s="197" t="s">
        <v>561</v>
      </c>
      <c r="N14" s="197" t="s">
        <v>562</v>
      </c>
      <c r="O14" s="197" t="s">
        <v>118</v>
      </c>
      <c r="P14" s="197" t="s">
        <v>563</v>
      </c>
      <c r="Q14" s="197" t="s">
        <v>66</v>
      </c>
      <c r="R14" s="196"/>
      <c r="S14" s="197" t="s">
        <v>656</v>
      </c>
      <c r="T14" s="197" t="s">
        <v>657</v>
      </c>
      <c r="U14" s="197" t="s">
        <v>658</v>
      </c>
      <c r="V14" s="196"/>
      <c r="W14" s="196"/>
      <c r="X14" s="197" t="s">
        <v>659</v>
      </c>
      <c r="Y14" s="196"/>
      <c r="Z14" s="196"/>
      <c r="AA14" s="199"/>
      <c r="AB14" s="199"/>
      <c r="AC14" s="197" t="s">
        <v>245</v>
      </c>
      <c r="AD14" s="197" t="s">
        <v>660</v>
      </c>
      <c r="AE14" s="197" t="s">
        <v>661</v>
      </c>
      <c r="AF14" s="196" t="s">
        <v>563</v>
      </c>
      <c r="AG14" s="197" t="s">
        <v>114</v>
      </c>
      <c r="AH14" s="197" t="s">
        <v>570</v>
      </c>
    </row>
    <row r="15" spans="1:34" ht="14.25" customHeight="1">
      <c r="A15" s="200">
        <v>69</v>
      </c>
      <c r="B15" s="201" t="s">
        <v>6</v>
      </c>
      <c r="C15" s="201" t="s">
        <v>662</v>
      </c>
      <c r="D15" s="201"/>
      <c r="E15" s="201" t="s">
        <v>151</v>
      </c>
      <c r="F15" s="202">
        <v>28940</v>
      </c>
      <c r="G15" s="201" t="s">
        <v>663</v>
      </c>
      <c r="H15" s="202">
        <v>40824</v>
      </c>
      <c r="I15" s="202">
        <v>40824</v>
      </c>
      <c r="J15" s="201" t="s">
        <v>242</v>
      </c>
      <c r="K15" s="200" t="s">
        <v>112</v>
      </c>
      <c r="L15" s="201" t="s">
        <v>118</v>
      </c>
      <c r="M15" s="201" t="s">
        <v>561</v>
      </c>
      <c r="N15" s="201" t="s">
        <v>562</v>
      </c>
      <c r="O15" s="201" t="s">
        <v>118</v>
      </c>
      <c r="P15" s="201" t="s">
        <v>563</v>
      </c>
      <c r="Q15" s="201" t="s">
        <v>66</v>
      </c>
      <c r="R15" s="200"/>
      <c r="S15" s="201" t="s">
        <v>664</v>
      </c>
      <c r="T15" s="201" t="s">
        <v>576</v>
      </c>
      <c r="U15" s="201" t="s">
        <v>665</v>
      </c>
      <c r="V15" s="200"/>
      <c r="W15" s="200"/>
      <c r="X15" s="201" t="s">
        <v>666</v>
      </c>
      <c r="Y15" s="200"/>
      <c r="Z15" s="200"/>
      <c r="AA15" s="203"/>
      <c r="AB15" s="203"/>
      <c r="AC15" s="201" t="s">
        <v>245</v>
      </c>
      <c r="AD15" s="201" t="s">
        <v>667</v>
      </c>
      <c r="AE15" s="201" t="s">
        <v>668</v>
      </c>
      <c r="AF15" s="200" t="s">
        <v>563</v>
      </c>
      <c r="AG15" s="201" t="s">
        <v>114</v>
      </c>
      <c r="AH15" s="201" t="s">
        <v>570</v>
      </c>
    </row>
    <row r="16" spans="1:34" ht="14.25" customHeight="1">
      <c r="A16" s="196">
        <v>70</v>
      </c>
      <c r="B16" s="197" t="s">
        <v>4</v>
      </c>
      <c r="C16" s="197" t="s">
        <v>669</v>
      </c>
      <c r="D16" s="197"/>
      <c r="E16" s="197" t="s">
        <v>151</v>
      </c>
      <c r="F16" s="198">
        <v>27827</v>
      </c>
      <c r="G16" s="197" t="s">
        <v>670</v>
      </c>
      <c r="H16" s="198">
        <v>40488</v>
      </c>
      <c r="I16" s="198">
        <v>40488</v>
      </c>
      <c r="J16" s="197" t="s">
        <v>242</v>
      </c>
      <c r="K16" s="196" t="s">
        <v>112</v>
      </c>
      <c r="L16" s="197" t="s">
        <v>118</v>
      </c>
      <c r="M16" s="197" t="s">
        <v>561</v>
      </c>
      <c r="N16" s="197" t="s">
        <v>562</v>
      </c>
      <c r="O16" s="197" t="s">
        <v>118</v>
      </c>
      <c r="P16" s="197" t="s">
        <v>563</v>
      </c>
      <c r="Q16" s="197" t="s">
        <v>66</v>
      </c>
      <c r="R16" s="196"/>
      <c r="S16" s="197" t="s">
        <v>671</v>
      </c>
      <c r="T16" s="197" t="s">
        <v>657</v>
      </c>
      <c r="U16" s="197" t="s">
        <v>672</v>
      </c>
      <c r="V16" s="196"/>
      <c r="W16" s="196"/>
      <c r="X16" s="197" t="s">
        <v>673</v>
      </c>
      <c r="Y16" s="196"/>
      <c r="Z16" s="196"/>
      <c r="AA16" s="199"/>
      <c r="AB16" s="199"/>
      <c r="AC16" s="197" t="s">
        <v>245</v>
      </c>
      <c r="AD16" s="197" t="s">
        <v>674</v>
      </c>
      <c r="AE16" s="197" t="s">
        <v>675</v>
      </c>
      <c r="AF16" s="196" t="s">
        <v>563</v>
      </c>
      <c r="AG16" s="197" t="s">
        <v>114</v>
      </c>
      <c r="AH16" s="197" t="s">
        <v>570</v>
      </c>
    </row>
    <row r="17" spans="1:34" ht="14.25" customHeight="1">
      <c r="A17" s="196">
        <v>72</v>
      </c>
      <c r="B17" s="197" t="s">
        <v>4</v>
      </c>
      <c r="C17" s="197" t="s">
        <v>676</v>
      </c>
      <c r="D17" s="197"/>
      <c r="E17" s="197" t="s">
        <v>151</v>
      </c>
      <c r="F17" s="198">
        <v>32809</v>
      </c>
      <c r="G17" s="197" t="s">
        <v>677</v>
      </c>
      <c r="H17" s="198">
        <v>42236</v>
      </c>
      <c r="I17" s="198">
        <v>42236</v>
      </c>
      <c r="J17" s="197" t="s">
        <v>242</v>
      </c>
      <c r="K17" s="196" t="s">
        <v>112</v>
      </c>
      <c r="L17" s="197" t="s">
        <v>118</v>
      </c>
      <c r="M17" s="197" t="s">
        <v>561</v>
      </c>
      <c r="N17" s="197" t="s">
        <v>562</v>
      </c>
      <c r="O17" s="197" t="s">
        <v>118</v>
      </c>
      <c r="P17" s="197" t="s">
        <v>563</v>
      </c>
      <c r="Q17" s="197" t="s">
        <v>66</v>
      </c>
      <c r="R17" s="196"/>
      <c r="S17" s="197" t="s">
        <v>678</v>
      </c>
      <c r="T17" s="197" t="s">
        <v>679</v>
      </c>
      <c r="U17" s="197" t="s">
        <v>680</v>
      </c>
      <c r="V17" s="196"/>
      <c r="W17" s="196"/>
      <c r="X17" s="197" t="s">
        <v>681</v>
      </c>
      <c r="Y17" s="196"/>
      <c r="Z17" s="196"/>
      <c r="AA17" s="199"/>
      <c r="AB17" s="199"/>
      <c r="AC17" s="197" t="s">
        <v>245</v>
      </c>
      <c r="AD17" s="197" t="s">
        <v>682</v>
      </c>
      <c r="AE17" s="197" t="s">
        <v>683</v>
      </c>
      <c r="AF17" s="196" t="s">
        <v>563</v>
      </c>
      <c r="AG17" s="197" t="s">
        <v>114</v>
      </c>
      <c r="AH17" s="197" t="s">
        <v>570</v>
      </c>
    </row>
    <row r="18" spans="1:34" ht="14.25" customHeight="1">
      <c r="A18" s="196">
        <v>76</v>
      </c>
      <c r="B18" s="197" t="s">
        <v>4</v>
      </c>
      <c r="C18" s="197" t="s">
        <v>502</v>
      </c>
      <c r="D18" s="197"/>
      <c r="E18" s="197" t="s">
        <v>151</v>
      </c>
      <c r="F18" s="198">
        <v>35078</v>
      </c>
      <c r="G18" s="197" t="s">
        <v>684</v>
      </c>
      <c r="H18" s="198">
        <v>44593</v>
      </c>
      <c r="I18" s="198">
        <v>44593</v>
      </c>
      <c r="J18" s="197" t="s">
        <v>258</v>
      </c>
      <c r="K18" s="196" t="s">
        <v>112</v>
      </c>
      <c r="L18" s="197" t="s">
        <v>113</v>
      </c>
      <c r="M18" s="197" t="s">
        <v>561</v>
      </c>
      <c r="N18" s="197" t="s">
        <v>591</v>
      </c>
      <c r="O18" s="197" t="s">
        <v>113</v>
      </c>
      <c r="P18" s="197" t="s">
        <v>563</v>
      </c>
      <c r="Q18" s="197" t="s">
        <v>66</v>
      </c>
      <c r="R18" s="196"/>
      <c r="S18" s="197" t="s">
        <v>648</v>
      </c>
      <c r="T18" s="197" t="s">
        <v>649</v>
      </c>
      <c r="U18" s="197" t="s">
        <v>685</v>
      </c>
      <c r="V18" s="196"/>
      <c r="W18" s="196"/>
      <c r="X18" s="197" t="s">
        <v>686</v>
      </c>
      <c r="Y18" s="196"/>
      <c r="Z18" s="196"/>
      <c r="AA18" s="199"/>
      <c r="AB18" s="199"/>
      <c r="AC18" s="197" t="s">
        <v>245</v>
      </c>
      <c r="AD18" s="197" t="s">
        <v>687</v>
      </c>
      <c r="AE18" s="197" t="s">
        <v>688</v>
      </c>
      <c r="AF18" s="196" t="s">
        <v>563</v>
      </c>
      <c r="AG18" s="197" t="s">
        <v>114</v>
      </c>
      <c r="AH18" s="197" t="s">
        <v>570</v>
      </c>
    </row>
    <row r="19" spans="1:34" ht="14.25" customHeight="1">
      <c r="A19" s="196">
        <v>78</v>
      </c>
      <c r="B19" s="197" t="s">
        <v>4</v>
      </c>
      <c r="C19" s="197" t="s">
        <v>689</v>
      </c>
      <c r="D19" s="197"/>
      <c r="E19" s="197" t="s">
        <v>151</v>
      </c>
      <c r="F19" s="198">
        <v>35369</v>
      </c>
      <c r="G19" s="197" t="s">
        <v>690</v>
      </c>
      <c r="H19" s="198">
        <v>44593</v>
      </c>
      <c r="I19" s="198">
        <v>44593</v>
      </c>
      <c r="J19" s="197" t="s">
        <v>258</v>
      </c>
      <c r="K19" s="196" t="s">
        <v>112</v>
      </c>
      <c r="L19" s="197" t="s">
        <v>113</v>
      </c>
      <c r="M19" s="197" t="s">
        <v>561</v>
      </c>
      <c r="N19" s="197" t="s">
        <v>591</v>
      </c>
      <c r="O19" s="197" t="s">
        <v>113</v>
      </c>
      <c r="P19" s="197" t="s">
        <v>563</v>
      </c>
      <c r="Q19" s="197" t="s">
        <v>66</v>
      </c>
      <c r="R19" s="196"/>
      <c r="S19" s="197" t="s">
        <v>648</v>
      </c>
      <c r="T19" s="197" t="s">
        <v>649</v>
      </c>
      <c r="U19" s="197" t="s">
        <v>691</v>
      </c>
      <c r="V19" s="196"/>
      <c r="W19" s="196"/>
      <c r="X19" s="197" t="s">
        <v>692</v>
      </c>
      <c r="Y19" s="196"/>
      <c r="Z19" s="196"/>
      <c r="AA19" s="199"/>
      <c r="AB19" s="199"/>
      <c r="AC19" s="197" t="s">
        <v>245</v>
      </c>
      <c r="AD19" s="197" t="s">
        <v>693</v>
      </c>
      <c r="AE19" s="197" t="s">
        <v>694</v>
      </c>
      <c r="AF19" s="196" t="s">
        <v>563</v>
      </c>
      <c r="AG19" s="197" t="s">
        <v>114</v>
      </c>
      <c r="AH19" s="197" t="s">
        <v>570</v>
      </c>
    </row>
    <row r="20" spans="1:34" ht="14.25" customHeight="1">
      <c r="A20" s="196">
        <v>80</v>
      </c>
      <c r="B20" s="197" t="s">
        <v>6</v>
      </c>
      <c r="C20" s="197" t="s">
        <v>695</v>
      </c>
      <c r="D20" s="197"/>
      <c r="E20" s="196"/>
      <c r="F20" s="198">
        <v>25020</v>
      </c>
      <c r="G20" s="197" t="s">
        <v>696</v>
      </c>
      <c r="H20" s="198">
        <v>45517</v>
      </c>
      <c r="I20" s="198">
        <v>43702</v>
      </c>
      <c r="J20" s="197" t="s">
        <v>378</v>
      </c>
      <c r="K20" s="196" t="s">
        <v>112</v>
      </c>
      <c r="L20" s="197" t="s">
        <v>132</v>
      </c>
      <c r="M20" s="197" t="s">
        <v>561</v>
      </c>
      <c r="N20" s="197" t="s">
        <v>562</v>
      </c>
      <c r="O20" s="197" t="s">
        <v>132</v>
      </c>
      <c r="P20" s="197" t="s">
        <v>563</v>
      </c>
      <c r="Q20" s="197" t="s">
        <v>71</v>
      </c>
      <c r="R20" s="196"/>
      <c r="S20" s="197" t="s">
        <v>697</v>
      </c>
      <c r="T20" s="197" t="s">
        <v>698</v>
      </c>
      <c r="U20" s="197" t="s">
        <v>699</v>
      </c>
      <c r="V20" s="196"/>
      <c r="W20" s="196"/>
      <c r="X20" s="197" t="s">
        <v>700</v>
      </c>
      <c r="Y20" s="196"/>
      <c r="Z20" s="196"/>
      <c r="AA20" s="199"/>
      <c r="AB20" s="199"/>
      <c r="AC20" s="197" t="s">
        <v>245</v>
      </c>
      <c r="AD20" s="197" t="s">
        <v>701</v>
      </c>
      <c r="AE20" s="197" t="s">
        <v>702</v>
      </c>
      <c r="AF20" s="196" t="s">
        <v>563</v>
      </c>
      <c r="AG20" s="197" t="s">
        <v>114</v>
      </c>
      <c r="AH20" s="197" t="s">
        <v>570</v>
      </c>
    </row>
    <row r="21" spans="1:34" ht="14.25" customHeight="1">
      <c r="A21" s="200">
        <v>89</v>
      </c>
      <c r="B21" s="201" t="s">
        <v>7</v>
      </c>
      <c r="C21" s="201" t="s">
        <v>703</v>
      </c>
      <c r="D21" s="201"/>
      <c r="E21" s="201" t="s">
        <v>151</v>
      </c>
      <c r="F21" s="202">
        <v>29166</v>
      </c>
      <c r="G21" s="201" t="s">
        <v>704</v>
      </c>
      <c r="H21" s="202">
        <v>40467</v>
      </c>
      <c r="I21" s="202">
        <v>40467</v>
      </c>
      <c r="J21" s="201" t="s">
        <v>242</v>
      </c>
      <c r="K21" s="200" t="s">
        <v>112</v>
      </c>
      <c r="L21" s="201" t="s">
        <v>118</v>
      </c>
      <c r="M21" s="201" t="s">
        <v>561</v>
      </c>
      <c r="N21" s="201" t="s">
        <v>562</v>
      </c>
      <c r="O21" s="201" t="s">
        <v>118</v>
      </c>
      <c r="P21" s="201" t="s">
        <v>563</v>
      </c>
      <c r="Q21" s="201" t="s">
        <v>66</v>
      </c>
      <c r="R21" s="200"/>
      <c r="S21" s="201" t="s">
        <v>705</v>
      </c>
      <c r="T21" s="201" t="s">
        <v>657</v>
      </c>
      <c r="U21" s="201" t="s">
        <v>706</v>
      </c>
      <c r="V21" s="200"/>
      <c r="W21" s="200"/>
      <c r="X21" s="201" t="s">
        <v>707</v>
      </c>
      <c r="Y21" s="200"/>
      <c r="Z21" s="200"/>
      <c r="AA21" s="203"/>
      <c r="AB21" s="203"/>
      <c r="AC21" s="201" t="s">
        <v>245</v>
      </c>
      <c r="AD21" s="201" t="s">
        <v>708</v>
      </c>
      <c r="AE21" s="201" t="s">
        <v>709</v>
      </c>
      <c r="AF21" s="200" t="s">
        <v>563</v>
      </c>
      <c r="AG21" s="201" t="s">
        <v>114</v>
      </c>
      <c r="AH21" s="201" t="s">
        <v>570</v>
      </c>
    </row>
    <row r="22" spans="1:34" ht="14.25" customHeight="1">
      <c r="A22" s="200">
        <v>95</v>
      </c>
      <c r="B22" s="201" t="s">
        <v>7</v>
      </c>
      <c r="C22" s="201" t="s">
        <v>710</v>
      </c>
      <c r="D22" s="201"/>
      <c r="E22" s="201" t="s">
        <v>151</v>
      </c>
      <c r="F22" s="202">
        <v>31357</v>
      </c>
      <c r="G22" s="201" t="s">
        <v>711</v>
      </c>
      <c r="H22" s="202">
        <v>41512</v>
      </c>
      <c r="I22" s="202">
        <v>41512</v>
      </c>
      <c r="J22" s="201" t="s">
        <v>242</v>
      </c>
      <c r="K22" s="200" t="s">
        <v>112</v>
      </c>
      <c r="L22" s="201" t="s">
        <v>118</v>
      </c>
      <c r="M22" s="201" t="s">
        <v>561</v>
      </c>
      <c r="N22" s="201" t="s">
        <v>562</v>
      </c>
      <c r="O22" s="201" t="s">
        <v>118</v>
      </c>
      <c r="P22" s="201" t="s">
        <v>563</v>
      </c>
      <c r="Q22" s="201" t="s">
        <v>66</v>
      </c>
      <c r="R22" s="200"/>
      <c r="S22" s="201" t="s">
        <v>712</v>
      </c>
      <c r="T22" s="201" t="s">
        <v>713</v>
      </c>
      <c r="U22" s="201" t="s">
        <v>714</v>
      </c>
      <c r="V22" s="200"/>
      <c r="W22" s="200"/>
      <c r="X22" s="201" t="s">
        <v>715</v>
      </c>
      <c r="Y22" s="200"/>
      <c r="Z22" s="200"/>
      <c r="AA22" s="203"/>
      <c r="AB22" s="203"/>
      <c r="AC22" s="201" t="s">
        <v>245</v>
      </c>
      <c r="AD22" s="201" t="s">
        <v>716</v>
      </c>
      <c r="AE22" s="201" t="s">
        <v>717</v>
      </c>
      <c r="AF22" s="200" t="s">
        <v>563</v>
      </c>
      <c r="AG22" s="201" t="s">
        <v>114</v>
      </c>
      <c r="AH22" s="201" t="s">
        <v>570</v>
      </c>
    </row>
    <row r="23" spans="1:34" ht="14.25" customHeight="1">
      <c r="A23" s="196">
        <v>96</v>
      </c>
      <c r="B23" s="197" t="s">
        <v>7</v>
      </c>
      <c r="C23" s="197" t="s">
        <v>718</v>
      </c>
      <c r="D23" s="197"/>
      <c r="E23" s="197" t="s">
        <v>151</v>
      </c>
      <c r="F23" s="198">
        <v>32888</v>
      </c>
      <c r="G23" s="197" t="s">
        <v>719</v>
      </c>
      <c r="H23" s="198">
        <v>42057</v>
      </c>
      <c r="I23" s="198">
        <v>42057</v>
      </c>
      <c r="J23" s="197" t="s">
        <v>242</v>
      </c>
      <c r="K23" s="196" t="s">
        <v>112</v>
      </c>
      <c r="L23" s="197" t="s">
        <v>118</v>
      </c>
      <c r="M23" s="197" t="s">
        <v>561</v>
      </c>
      <c r="N23" s="197" t="s">
        <v>591</v>
      </c>
      <c r="O23" s="197" t="s">
        <v>118</v>
      </c>
      <c r="P23" s="197" t="s">
        <v>563</v>
      </c>
      <c r="Q23" s="197" t="s">
        <v>66</v>
      </c>
      <c r="R23" s="196"/>
      <c r="S23" s="197" t="s">
        <v>720</v>
      </c>
      <c r="T23" s="197" t="s">
        <v>679</v>
      </c>
      <c r="U23" s="197" t="s">
        <v>721</v>
      </c>
      <c r="V23" s="196"/>
      <c r="W23" s="196"/>
      <c r="X23" s="197" t="s">
        <v>722</v>
      </c>
      <c r="Y23" s="196"/>
      <c r="Z23" s="196"/>
      <c r="AA23" s="199"/>
      <c r="AB23" s="199"/>
      <c r="AC23" s="197" t="s">
        <v>245</v>
      </c>
      <c r="AD23" s="197" t="s">
        <v>723</v>
      </c>
      <c r="AE23" s="197" t="s">
        <v>724</v>
      </c>
      <c r="AF23" s="196" t="s">
        <v>563</v>
      </c>
      <c r="AG23" s="197" t="s">
        <v>114</v>
      </c>
      <c r="AH23" s="197" t="s">
        <v>570</v>
      </c>
    </row>
    <row r="24" spans="1:34" ht="14.25" customHeight="1">
      <c r="A24" s="196">
        <v>98</v>
      </c>
      <c r="B24" s="197" t="s">
        <v>4</v>
      </c>
      <c r="C24" s="197" t="s">
        <v>725</v>
      </c>
      <c r="D24" s="197"/>
      <c r="E24" s="197" t="s">
        <v>151</v>
      </c>
      <c r="F24" s="198">
        <v>33512</v>
      </c>
      <c r="G24" s="197" t="s">
        <v>726</v>
      </c>
      <c r="H24" s="198">
        <v>42235</v>
      </c>
      <c r="I24" s="198">
        <v>42235</v>
      </c>
      <c r="J24" s="197" t="s">
        <v>242</v>
      </c>
      <c r="K24" s="196" t="s">
        <v>112</v>
      </c>
      <c r="L24" s="197" t="s">
        <v>118</v>
      </c>
      <c r="M24" s="197" t="s">
        <v>561</v>
      </c>
      <c r="N24" s="197" t="s">
        <v>562</v>
      </c>
      <c r="O24" s="197" t="s">
        <v>118</v>
      </c>
      <c r="P24" s="197" t="s">
        <v>563</v>
      </c>
      <c r="Q24" s="197" t="s">
        <v>66</v>
      </c>
      <c r="R24" s="196"/>
      <c r="S24" s="197" t="s">
        <v>727</v>
      </c>
      <c r="T24" s="197" t="s">
        <v>679</v>
      </c>
      <c r="U24" s="197" t="s">
        <v>728</v>
      </c>
      <c r="V24" s="196"/>
      <c r="W24" s="196"/>
      <c r="X24" s="197" t="s">
        <v>729</v>
      </c>
      <c r="Y24" s="196"/>
      <c r="Z24" s="196"/>
      <c r="AA24" s="199"/>
      <c r="AB24" s="199"/>
      <c r="AC24" s="197" t="s">
        <v>245</v>
      </c>
      <c r="AD24" s="197" t="s">
        <v>730</v>
      </c>
      <c r="AE24" s="197" t="s">
        <v>731</v>
      </c>
      <c r="AF24" s="196" t="s">
        <v>563</v>
      </c>
      <c r="AG24" s="197" t="s">
        <v>114</v>
      </c>
      <c r="AH24" s="197" t="s">
        <v>570</v>
      </c>
    </row>
    <row r="25" spans="1:34" ht="14.25" customHeight="1">
      <c r="A25" s="200">
        <v>111</v>
      </c>
      <c r="B25" s="201" t="s">
        <v>4</v>
      </c>
      <c r="C25" s="201" t="s">
        <v>732</v>
      </c>
      <c r="D25" s="201"/>
      <c r="E25" s="201" t="s">
        <v>151</v>
      </c>
      <c r="F25" s="202">
        <v>29967</v>
      </c>
      <c r="G25" s="201" t="s">
        <v>733</v>
      </c>
      <c r="H25" s="202">
        <v>40847</v>
      </c>
      <c r="I25" s="202">
        <v>40847</v>
      </c>
      <c r="J25" s="201" t="s">
        <v>242</v>
      </c>
      <c r="K25" s="200" t="s">
        <v>112</v>
      </c>
      <c r="L25" s="201" t="s">
        <v>118</v>
      </c>
      <c r="M25" s="201" t="s">
        <v>561</v>
      </c>
      <c r="N25" s="201" t="s">
        <v>562</v>
      </c>
      <c r="O25" s="201" t="s">
        <v>118</v>
      </c>
      <c r="P25" s="201" t="s">
        <v>563</v>
      </c>
      <c r="Q25" s="201" t="s">
        <v>66</v>
      </c>
      <c r="R25" s="200"/>
      <c r="S25" s="201" t="s">
        <v>734</v>
      </c>
      <c r="T25" s="201" t="s">
        <v>576</v>
      </c>
      <c r="U25" s="201" t="s">
        <v>735</v>
      </c>
      <c r="V25" s="200"/>
      <c r="W25" s="200"/>
      <c r="X25" s="201" t="s">
        <v>736</v>
      </c>
      <c r="Y25" s="200"/>
      <c r="Z25" s="200"/>
      <c r="AA25" s="203"/>
      <c r="AB25" s="203"/>
      <c r="AC25" s="201" t="s">
        <v>245</v>
      </c>
      <c r="AD25" s="201" t="s">
        <v>737</v>
      </c>
      <c r="AE25" s="201" t="s">
        <v>738</v>
      </c>
      <c r="AF25" s="200" t="s">
        <v>563</v>
      </c>
      <c r="AG25" s="201" t="s">
        <v>114</v>
      </c>
      <c r="AH25" s="201" t="s">
        <v>570</v>
      </c>
    </row>
    <row r="26" spans="1:34" ht="14.25" customHeight="1">
      <c r="A26" s="196">
        <v>122</v>
      </c>
      <c r="B26" s="197" t="s">
        <v>4</v>
      </c>
      <c r="C26" s="197" t="s">
        <v>739</v>
      </c>
      <c r="D26" s="197"/>
      <c r="E26" s="197" t="s">
        <v>151</v>
      </c>
      <c r="F26" s="198">
        <v>31643</v>
      </c>
      <c r="G26" s="197" t="s">
        <v>740</v>
      </c>
      <c r="H26" s="198">
        <v>42638</v>
      </c>
      <c r="I26" s="198">
        <v>42638</v>
      </c>
      <c r="J26" s="197" t="s">
        <v>242</v>
      </c>
      <c r="K26" s="196" t="s">
        <v>112</v>
      </c>
      <c r="L26" s="197" t="s">
        <v>118</v>
      </c>
      <c r="M26" s="197" t="s">
        <v>561</v>
      </c>
      <c r="N26" s="197" t="s">
        <v>591</v>
      </c>
      <c r="O26" s="197" t="s">
        <v>118</v>
      </c>
      <c r="P26" s="197" t="s">
        <v>563</v>
      </c>
      <c r="Q26" s="197" t="s">
        <v>66</v>
      </c>
      <c r="R26" s="196"/>
      <c r="S26" s="197" t="s">
        <v>741</v>
      </c>
      <c r="T26" s="197" t="s">
        <v>584</v>
      </c>
      <c r="U26" s="197" t="s">
        <v>742</v>
      </c>
      <c r="V26" s="196"/>
      <c r="W26" s="196"/>
      <c r="X26" s="197" t="s">
        <v>743</v>
      </c>
      <c r="Y26" s="196"/>
      <c r="Z26" s="196"/>
      <c r="AA26" s="199"/>
      <c r="AB26" s="199"/>
      <c r="AC26" s="197" t="s">
        <v>245</v>
      </c>
      <c r="AD26" s="197" t="s">
        <v>744</v>
      </c>
      <c r="AE26" s="197" t="s">
        <v>745</v>
      </c>
      <c r="AF26" s="196" t="s">
        <v>563</v>
      </c>
      <c r="AG26" s="197" t="s">
        <v>114</v>
      </c>
      <c r="AH26" s="197" t="s">
        <v>570</v>
      </c>
    </row>
    <row r="27" spans="1:34" ht="14.25" customHeight="1">
      <c r="A27" s="200">
        <v>137</v>
      </c>
      <c r="B27" s="201" t="s">
        <v>7</v>
      </c>
      <c r="C27" s="201" t="s">
        <v>746</v>
      </c>
      <c r="D27" s="201"/>
      <c r="E27" s="201" t="s">
        <v>151</v>
      </c>
      <c r="F27" s="202">
        <v>30514</v>
      </c>
      <c r="G27" s="201" t="s">
        <v>747</v>
      </c>
      <c r="H27" s="202">
        <v>42637</v>
      </c>
      <c r="I27" s="202">
        <v>42637</v>
      </c>
      <c r="J27" s="201" t="s">
        <v>242</v>
      </c>
      <c r="K27" s="200" t="s">
        <v>112</v>
      </c>
      <c r="L27" s="201" t="s">
        <v>118</v>
      </c>
      <c r="M27" s="201" t="s">
        <v>561</v>
      </c>
      <c r="N27" s="201" t="s">
        <v>562</v>
      </c>
      <c r="O27" s="201" t="s">
        <v>118</v>
      </c>
      <c r="P27" s="201" t="s">
        <v>563</v>
      </c>
      <c r="Q27" s="201" t="s">
        <v>66</v>
      </c>
      <c r="R27" s="200"/>
      <c r="S27" s="201" t="s">
        <v>748</v>
      </c>
      <c r="T27" s="201" t="s">
        <v>584</v>
      </c>
      <c r="U27" s="201" t="s">
        <v>749</v>
      </c>
      <c r="V27" s="200"/>
      <c r="W27" s="200"/>
      <c r="X27" s="201" t="s">
        <v>750</v>
      </c>
      <c r="Y27" s="200"/>
      <c r="Z27" s="200"/>
      <c r="AA27" s="203"/>
      <c r="AB27" s="203"/>
      <c r="AC27" s="201" t="s">
        <v>245</v>
      </c>
      <c r="AD27" s="201" t="s">
        <v>751</v>
      </c>
      <c r="AE27" s="201" t="s">
        <v>752</v>
      </c>
      <c r="AF27" s="200" t="s">
        <v>563</v>
      </c>
      <c r="AG27" s="201" t="s">
        <v>114</v>
      </c>
      <c r="AH27" s="201" t="s">
        <v>570</v>
      </c>
    </row>
    <row r="28" spans="1:34" ht="14.25" customHeight="1">
      <c r="A28" s="200">
        <v>155</v>
      </c>
      <c r="B28" s="201" t="s">
        <v>149</v>
      </c>
      <c r="C28" s="201" t="s">
        <v>753</v>
      </c>
      <c r="D28" s="201"/>
      <c r="E28" s="201" t="s">
        <v>151</v>
      </c>
      <c r="F28" s="202">
        <v>28917</v>
      </c>
      <c r="G28" s="201" t="s">
        <v>754</v>
      </c>
      <c r="H28" s="202">
        <v>42988</v>
      </c>
      <c r="I28" s="202">
        <v>42988</v>
      </c>
      <c r="J28" s="201" t="s">
        <v>242</v>
      </c>
      <c r="K28" s="200" t="s">
        <v>112</v>
      </c>
      <c r="L28" s="201" t="s">
        <v>118</v>
      </c>
      <c r="M28" s="201" t="s">
        <v>561</v>
      </c>
      <c r="N28" s="201" t="s">
        <v>562</v>
      </c>
      <c r="O28" s="201" t="s">
        <v>118</v>
      </c>
      <c r="P28" s="201" t="s">
        <v>563</v>
      </c>
      <c r="Q28" s="201" t="s">
        <v>755</v>
      </c>
      <c r="R28" s="200"/>
      <c r="S28" s="201" t="s">
        <v>756</v>
      </c>
      <c r="T28" s="201" t="s">
        <v>757</v>
      </c>
      <c r="U28" s="201" t="s">
        <v>758</v>
      </c>
      <c r="V28" s="200"/>
      <c r="W28" s="200"/>
      <c r="X28" s="201" t="s">
        <v>759</v>
      </c>
      <c r="Y28" s="200"/>
      <c r="Z28" s="200"/>
      <c r="AA28" s="203"/>
      <c r="AB28" s="203"/>
      <c r="AC28" s="201" t="s">
        <v>245</v>
      </c>
      <c r="AD28" s="201" t="s">
        <v>760</v>
      </c>
      <c r="AE28" s="201" t="s">
        <v>761</v>
      </c>
      <c r="AF28" s="200" t="s">
        <v>563</v>
      </c>
      <c r="AG28" s="201" t="s">
        <v>114</v>
      </c>
      <c r="AH28" s="201" t="s">
        <v>570</v>
      </c>
    </row>
    <row r="29" spans="1:34" ht="14.25" customHeight="1">
      <c r="A29" s="196">
        <v>158</v>
      </c>
      <c r="B29" s="197" t="s">
        <v>7</v>
      </c>
      <c r="C29" s="197" t="s">
        <v>511</v>
      </c>
      <c r="D29" s="197"/>
      <c r="E29" s="197" t="s">
        <v>151</v>
      </c>
      <c r="F29" s="198">
        <v>33023</v>
      </c>
      <c r="G29" s="197" t="s">
        <v>762</v>
      </c>
      <c r="H29" s="198">
        <v>42634</v>
      </c>
      <c r="I29" s="198">
        <v>42634</v>
      </c>
      <c r="J29" s="197" t="s">
        <v>242</v>
      </c>
      <c r="K29" s="196" t="s">
        <v>112</v>
      </c>
      <c r="L29" s="197" t="s">
        <v>118</v>
      </c>
      <c r="M29" s="197" t="s">
        <v>561</v>
      </c>
      <c r="N29" s="197" t="s">
        <v>591</v>
      </c>
      <c r="O29" s="197" t="s">
        <v>118</v>
      </c>
      <c r="P29" s="197" t="s">
        <v>563</v>
      </c>
      <c r="Q29" s="197" t="s">
        <v>66</v>
      </c>
      <c r="R29" s="196"/>
      <c r="S29" s="197" t="s">
        <v>592</v>
      </c>
      <c r="T29" s="197" t="s">
        <v>584</v>
      </c>
      <c r="U29" s="197" t="s">
        <v>763</v>
      </c>
      <c r="V29" s="196"/>
      <c r="W29" s="196"/>
      <c r="X29" s="197" t="s">
        <v>764</v>
      </c>
      <c r="Y29" s="196"/>
      <c r="Z29" s="196"/>
      <c r="AA29" s="199"/>
      <c r="AB29" s="199"/>
      <c r="AC29" s="197" t="s">
        <v>245</v>
      </c>
      <c r="AD29" s="197" t="s">
        <v>765</v>
      </c>
      <c r="AE29" s="197" t="s">
        <v>766</v>
      </c>
      <c r="AF29" s="196" t="s">
        <v>563</v>
      </c>
      <c r="AG29" s="197" t="s">
        <v>114</v>
      </c>
      <c r="AH29" s="197" t="s">
        <v>570</v>
      </c>
    </row>
    <row r="30" spans="1:34" ht="14.25" customHeight="1">
      <c r="A30" s="196">
        <v>160</v>
      </c>
      <c r="B30" s="197" t="s">
        <v>7</v>
      </c>
      <c r="C30" s="197" t="s">
        <v>767</v>
      </c>
      <c r="D30" s="197"/>
      <c r="E30" s="197" t="s">
        <v>151</v>
      </c>
      <c r="F30" s="198">
        <v>33454</v>
      </c>
      <c r="G30" s="197" t="s">
        <v>768</v>
      </c>
      <c r="H30" s="198">
        <v>42988</v>
      </c>
      <c r="I30" s="198">
        <v>42988</v>
      </c>
      <c r="J30" s="197" t="s">
        <v>242</v>
      </c>
      <c r="K30" s="196" t="s">
        <v>112</v>
      </c>
      <c r="L30" s="197" t="s">
        <v>118</v>
      </c>
      <c r="M30" s="197" t="s">
        <v>561</v>
      </c>
      <c r="N30" s="197" t="s">
        <v>562</v>
      </c>
      <c r="O30" s="197" t="s">
        <v>118</v>
      </c>
      <c r="P30" s="197" t="s">
        <v>563</v>
      </c>
      <c r="Q30" s="197" t="s">
        <v>66</v>
      </c>
      <c r="R30" s="196"/>
      <c r="S30" s="197" t="s">
        <v>756</v>
      </c>
      <c r="T30" s="197" t="s">
        <v>757</v>
      </c>
      <c r="U30" s="197" t="s">
        <v>769</v>
      </c>
      <c r="V30" s="196"/>
      <c r="W30" s="196"/>
      <c r="X30" s="197" t="s">
        <v>770</v>
      </c>
      <c r="Y30" s="196"/>
      <c r="Z30" s="196"/>
      <c r="AA30" s="199"/>
      <c r="AB30" s="199"/>
      <c r="AC30" s="197" t="s">
        <v>245</v>
      </c>
      <c r="AD30" s="197" t="s">
        <v>771</v>
      </c>
      <c r="AE30" s="197" t="s">
        <v>772</v>
      </c>
      <c r="AF30" s="196" t="s">
        <v>563</v>
      </c>
      <c r="AG30" s="197" t="s">
        <v>114</v>
      </c>
      <c r="AH30" s="197" t="s">
        <v>570</v>
      </c>
    </row>
    <row r="31" spans="1:34" ht="14.25" customHeight="1">
      <c r="A31" s="196">
        <v>164</v>
      </c>
      <c r="B31" s="197" t="s">
        <v>7</v>
      </c>
      <c r="C31" s="197" t="s">
        <v>773</v>
      </c>
      <c r="D31" s="197"/>
      <c r="E31" s="197" t="s">
        <v>151</v>
      </c>
      <c r="F31" s="198">
        <v>33928</v>
      </c>
      <c r="G31" s="197" t="s">
        <v>774</v>
      </c>
      <c r="H31" s="198">
        <v>42995</v>
      </c>
      <c r="I31" s="198">
        <v>42995</v>
      </c>
      <c r="J31" s="197" t="s">
        <v>242</v>
      </c>
      <c r="K31" s="196" t="s">
        <v>112</v>
      </c>
      <c r="L31" s="197" t="s">
        <v>118</v>
      </c>
      <c r="M31" s="197" t="s">
        <v>561</v>
      </c>
      <c r="N31" s="197" t="s">
        <v>562</v>
      </c>
      <c r="O31" s="197" t="s">
        <v>118</v>
      </c>
      <c r="P31" s="197" t="s">
        <v>563</v>
      </c>
      <c r="Q31" s="197" t="s">
        <v>66</v>
      </c>
      <c r="R31" s="196"/>
      <c r="S31" s="197" t="s">
        <v>775</v>
      </c>
      <c r="T31" s="197" t="s">
        <v>757</v>
      </c>
      <c r="U31" s="197" t="s">
        <v>776</v>
      </c>
      <c r="V31" s="196"/>
      <c r="W31" s="196"/>
      <c r="X31" s="197" t="s">
        <v>777</v>
      </c>
      <c r="Y31" s="196"/>
      <c r="Z31" s="196"/>
      <c r="AA31" s="199"/>
      <c r="AB31" s="199"/>
      <c r="AC31" s="197" t="s">
        <v>245</v>
      </c>
      <c r="AD31" s="197" t="s">
        <v>778</v>
      </c>
      <c r="AE31" s="197" t="s">
        <v>779</v>
      </c>
      <c r="AF31" s="196" t="s">
        <v>563</v>
      </c>
      <c r="AG31" s="197" t="s">
        <v>114</v>
      </c>
      <c r="AH31" s="197" t="s">
        <v>570</v>
      </c>
    </row>
    <row r="32" spans="1:34" ht="14.25" customHeight="1">
      <c r="A32" s="196">
        <v>168</v>
      </c>
      <c r="B32" s="197" t="s">
        <v>7</v>
      </c>
      <c r="C32" s="197" t="s">
        <v>780</v>
      </c>
      <c r="D32" s="197"/>
      <c r="E32" s="197" t="s">
        <v>151</v>
      </c>
      <c r="F32" s="198">
        <v>34869</v>
      </c>
      <c r="G32" s="197" t="s">
        <v>781</v>
      </c>
      <c r="H32" s="198">
        <v>43788</v>
      </c>
      <c r="I32" s="198">
        <v>43788</v>
      </c>
      <c r="J32" s="197" t="s">
        <v>242</v>
      </c>
      <c r="K32" s="196" t="s">
        <v>112</v>
      </c>
      <c r="L32" s="197" t="s">
        <v>118</v>
      </c>
      <c r="M32" s="197" t="s">
        <v>561</v>
      </c>
      <c r="N32" s="197" t="s">
        <v>591</v>
      </c>
      <c r="O32" s="197" t="s">
        <v>118</v>
      </c>
      <c r="P32" s="197" t="s">
        <v>563</v>
      </c>
      <c r="Q32" s="197" t="s">
        <v>66</v>
      </c>
      <c r="R32" s="196"/>
      <c r="S32" s="197" t="s">
        <v>782</v>
      </c>
      <c r="T32" s="197" t="s">
        <v>698</v>
      </c>
      <c r="U32" s="197" t="s">
        <v>783</v>
      </c>
      <c r="V32" s="196"/>
      <c r="W32" s="196"/>
      <c r="X32" s="197" t="s">
        <v>784</v>
      </c>
      <c r="Y32" s="196"/>
      <c r="Z32" s="196"/>
      <c r="AA32" s="199"/>
      <c r="AB32" s="199"/>
      <c r="AC32" s="197" t="s">
        <v>245</v>
      </c>
      <c r="AD32" s="197" t="s">
        <v>785</v>
      </c>
      <c r="AE32" s="197" t="s">
        <v>786</v>
      </c>
      <c r="AF32" s="196" t="s">
        <v>563</v>
      </c>
      <c r="AG32" s="197" t="s">
        <v>114</v>
      </c>
      <c r="AH32" s="197" t="s">
        <v>570</v>
      </c>
    </row>
    <row r="33" spans="1:34" ht="14.25" customHeight="1">
      <c r="A33" s="200">
        <v>175</v>
      </c>
      <c r="B33" s="201" t="s">
        <v>6</v>
      </c>
      <c r="C33" s="201" t="s">
        <v>787</v>
      </c>
      <c r="D33" s="201"/>
      <c r="E33" s="201" t="s">
        <v>151</v>
      </c>
      <c r="F33" s="202">
        <v>31037</v>
      </c>
      <c r="G33" s="201" t="s">
        <v>788</v>
      </c>
      <c r="H33" s="202">
        <v>43009</v>
      </c>
      <c r="I33" s="202">
        <v>43009</v>
      </c>
      <c r="J33" s="201" t="s">
        <v>258</v>
      </c>
      <c r="K33" s="200" t="s">
        <v>112</v>
      </c>
      <c r="L33" s="201" t="s">
        <v>113</v>
      </c>
      <c r="M33" s="201" t="s">
        <v>561</v>
      </c>
      <c r="N33" s="201" t="s">
        <v>562</v>
      </c>
      <c r="O33" s="201" t="s">
        <v>113</v>
      </c>
      <c r="P33" s="201" t="s">
        <v>563</v>
      </c>
      <c r="Q33" s="201" t="s">
        <v>66</v>
      </c>
      <c r="R33" s="200"/>
      <c r="S33" s="201" t="s">
        <v>789</v>
      </c>
      <c r="T33" s="201" t="s">
        <v>757</v>
      </c>
      <c r="U33" s="201" t="s">
        <v>790</v>
      </c>
      <c r="V33" s="201"/>
      <c r="W33" s="201"/>
      <c r="X33" s="201" t="s">
        <v>791</v>
      </c>
      <c r="Y33" s="200"/>
      <c r="Z33" s="200"/>
      <c r="AA33" s="203"/>
      <c r="AB33" s="203"/>
      <c r="AC33" s="201" t="s">
        <v>245</v>
      </c>
      <c r="AD33" s="201" t="s">
        <v>792</v>
      </c>
      <c r="AE33" s="201" t="s">
        <v>793</v>
      </c>
      <c r="AF33" s="200" t="s">
        <v>563</v>
      </c>
      <c r="AG33" s="201" t="s">
        <v>114</v>
      </c>
      <c r="AH33" s="201" t="s">
        <v>570</v>
      </c>
    </row>
    <row r="34" spans="1:34" ht="14.25" customHeight="1">
      <c r="A34" s="200">
        <v>177</v>
      </c>
      <c r="B34" s="201" t="s">
        <v>7</v>
      </c>
      <c r="C34" s="201" t="s">
        <v>441</v>
      </c>
      <c r="D34" s="201"/>
      <c r="E34" s="201" t="s">
        <v>151</v>
      </c>
      <c r="F34" s="202">
        <v>33067</v>
      </c>
      <c r="G34" s="201" t="s">
        <v>794</v>
      </c>
      <c r="H34" s="202">
        <v>43983</v>
      </c>
      <c r="I34" s="202">
        <v>43983</v>
      </c>
      <c r="J34" s="201" t="s">
        <v>258</v>
      </c>
      <c r="K34" s="200" t="s">
        <v>112</v>
      </c>
      <c r="L34" s="201" t="s">
        <v>113</v>
      </c>
      <c r="M34" s="201" t="s">
        <v>561</v>
      </c>
      <c r="N34" s="201" t="s">
        <v>562</v>
      </c>
      <c r="O34" s="201" t="s">
        <v>113</v>
      </c>
      <c r="P34" s="201" t="s">
        <v>563</v>
      </c>
      <c r="Q34" s="201" t="s">
        <v>71</v>
      </c>
      <c r="R34" s="200"/>
      <c r="S34" s="201" t="s">
        <v>795</v>
      </c>
      <c r="T34" s="201" t="s">
        <v>796</v>
      </c>
      <c r="U34" s="201" t="s">
        <v>797</v>
      </c>
      <c r="V34" s="201"/>
      <c r="W34" s="201"/>
      <c r="X34" s="201" t="s">
        <v>798</v>
      </c>
      <c r="Y34" s="200"/>
      <c r="Z34" s="200"/>
      <c r="AA34" s="203"/>
      <c r="AB34" s="203"/>
      <c r="AC34" s="201" t="s">
        <v>245</v>
      </c>
      <c r="AD34" s="201" t="s">
        <v>799</v>
      </c>
      <c r="AE34" s="201" t="s">
        <v>800</v>
      </c>
      <c r="AF34" s="200" t="s">
        <v>563</v>
      </c>
      <c r="AG34" s="201" t="s">
        <v>114</v>
      </c>
      <c r="AH34" s="201" t="s">
        <v>570</v>
      </c>
    </row>
    <row r="35" spans="1:34" ht="14.25" customHeight="1">
      <c r="A35" s="200">
        <v>179</v>
      </c>
      <c r="B35" s="201" t="s">
        <v>4</v>
      </c>
      <c r="C35" s="201" t="s">
        <v>801</v>
      </c>
      <c r="D35" s="201"/>
      <c r="E35" s="201" t="s">
        <v>151</v>
      </c>
      <c r="F35" s="202">
        <v>25976</v>
      </c>
      <c r="G35" s="201" t="s">
        <v>802</v>
      </c>
      <c r="H35" s="202">
        <v>43040</v>
      </c>
      <c r="I35" s="202">
        <v>43040</v>
      </c>
      <c r="J35" s="201" t="s">
        <v>258</v>
      </c>
      <c r="K35" s="200" t="s">
        <v>112</v>
      </c>
      <c r="L35" s="201" t="s">
        <v>113</v>
      </c>
      <c r="M35" s="201" t="s">
        <v>561</v>
      </c>
      <c r="N35" s="201" t="s">
        <v>562</v>
      </c>
      <c r="O35" s="201" t="s">
        <v>113</v>
      </c>
      <c r="P35" s="201" t="s">
        <v>563</v>
      </c>
      <c r="Q35" s="201" t="s">
        <v>66</v>
      </c>
      <c r="R35" s="200"/>
      <c r="S35" s="201" t="s">
        <v>803</v>
      </c>
      <c r="T35" s="201" t="s">
        <v>757</v>
      </c>
      <c r="U35" s="201" t="s">
        <v>804</v>
      </c>
      <c r="V35" s="201"/>
      <c r="W35" s="201"/>
      <c r="X35" s="201" t="s">
        <v>805</v>
      </c>
      <c r="Y35" s="200"/>
      <c r="Z35" s="200"/>
      <c r="AA35" s="203"/>
      <c r="AB35" s="203"/>
      <c r="AC35" s="201" t="s">
        <v>245</v>
      </c>
      <c r="AD35" s="201" t="s">
        <v>806</v>
      </c>
      <c r="AE35" s="201" t="s">
        <v>807</v>
      </c>
      <c r="AF35" s="200" t="s">
        <v>563</v>
      </c>
      <c r="AG35" s="201" t="s">
        <v>114</v>
      </c>
      <c r="AH35" s="201" t="s">
        <v>570</v>
      </c>
    </row>
    <row r="36" spans="1:34" ht="14.25" customHeight="1">
      <c r="A36" s="200">
        <v>183</v>
      </c>
      <c r="B36" s="201" t="s">
        <v>7</v>
      </c>
      <c r="C36" s="201" t="s">
        <v>443</v>
      </c>
      <c r="D36" s="201"/>
      <c r="E36" s="201" t="s">
        <v>151</v>
      </c>
      <c r="F36" s="202">
        <v>32779</v>
      </c>
      <c r="G36" s="201" t="s">
        <v>808</v>
      </c>
      <c r="H36" s="202">
        <v>43360</v>
      </c>
      <c r="I36" s="202">
        <v>43360</v>
      </c>
      <c r="J36" s="201" t="s">
        <v>258</v>
      </c>
      <c r="K36" s="200" t="s">
        <v>112</v>
      </c>
      <c r="L36" s="201" t="s">
        <v>113</v>
      </c>
      <c r="M36" s="201" t="s">
        <v>561</v>
      </c>
      <c r="N36" s="201" t="s">
        <v>562</v>
      </c>
      <c r="O36" s="201" t="s">
        <v>113</v>
      </c>
      <c r="P36" s="201" t="s">
        <v>563</v>
      </c>
      <c r="Q36" s="201" t="s">
        <v>52</v>
      </c>
      <c r="R36" s="200"/>
      <c r="S36" s="201" t="s">
        <v>809</v>
      </c>
      <c r="T36" s="201" t="s">
        <v>810</v>
      </c>
      <c r="U36" s="201" t="s">
        <v>811</v>
      </c>
      <c r="V36" s="201"/>
      <c r="W36" s="201"/>
      <c r="X36" s="201" t="s">
        <v>812</v>
      </c>
      <c r="Y36" s="200"/>
      <c r="Z36" s="200"/>
      <c r="AA36" s="203"/>
      <c r="AB36" s="203"/>
      <c r="AC36" s="201" t="s">
        <v>245</v>
      </c>
      <c r="AD36" s="201" t="s">
        <v>813</v>
      </c>
      <c r="AE36" s="201" t="s">
        <v>814</v>
      </c>
      <c r="AF36" s="200" t="s">
        <v>563</v>
      </c>
      <c r="AG36" s="201" t="s">
        <v>114</v>
      </c>
      <c r="AH36" s="201" t="s">
        <v>570</v>
      </c>
    </row>
    <row r="37" spans="1:34" ht="14.25" customHeight="1">
      <c r="A37" s="200">
        <v>185</v>
      </c>
      <c r="B37" s="201" t="s">
        <v>4</v>
      </c>
      <c r="C37" s="201" t="s">
        <v>418</v>
      </c>
      <c r="D37" s="201"/>
      <c r="E37" s="201" t="s">
        <v>151</v>
      </c>
      <c r="F37" s="202">
        <v>29002</v>
      </c>
      <c r="G37" s="201" t="s">
        <v>815</v>
      </c>
      <c r="H37" s="202">
        <v>43709</v>
      </c>
      <c r="I37" s="202">
        <v>43709</v>
      </c>
      <c r="J37" s="201" t="s">
        <v>258</v>
      </c>
      <c r="K37" s="200" t="s">
        <v>112</v>
      </c>
      <c r="L37" s="201" t="s">
        <v>113</v>
      </c>
      <c r="M37" s="201" t="s">
        <v>561</v>
      </c>
      <c r="N37" s="201" t="s">
        <v>562</v>
      </c>
      <c r="O37" s="201" t="s">
        <v>113</v>
      </c>
      <c r="P37" s="201" t="s">
        <v>563</v>
      </c>
      <c r="Q37" s="201" t="s">
        <v>66</v>
      </c>
      <c r="R37" s="200"/>
      <c r="S37" s="201" t="s">
        <v>816</v>
      </c>
      <c r="T37" s="201" t="s">
        <v>698</v>
      </c>
      <c r="U37" s="201" t="s">
        <v>817</v>
      </c>
      <c r="V37" s="201"/>
      <c r="W37" s="201"/>
      <c r="X37" s="201" t="s">
        <v>818</v>
      </c>
      <c r="Y37" s="200"/>
      <c r="Z37" s="200"/>
      <c r="AA37" s="203"/>
      <c r="AB37" s="203"/>
      <c r="AC37" s="201" t="s">
        <v>245</v>
      </c>
      <c r="AD37" s="201" t="s">
        <v>819</v>
      </c>
      <c r="AE37" s="201" t="s">
        <v>820</v>
      </c>
      <c r="AF37" s="200" t="s">
        <v>563</v>
      </c>
      <c r="AG37" s="201" t="s">
        <v>114</v>
      </c>
      <c r="AH37" s="201" t="s">
        <v>570</v>
      </c>
    </row>
    <row r="38" spans="1:34" ht="14.25" customHeight="1">
      <c r="A38" s="196">
        <v>186</v>
      </c>
      <c r="B38" s="197" t="s">
        <v>4</v>
      </c>
      <c r="C38" s="197" t="s">
        <v>821</v>
      </c>
      <c r="D38" s="197"/>
      <c r="E38" s="197" t="s">
        <v>151</v>
      </c>
      <c r="F38" s="198">
        <v>31620</v>
      </c>
      <c r="G38" s="197" t="s">
        <v>822</v>
      </c>
      <c r="H38" s="198">
        <v>43849</v>
      </c>
      <c r="I38" s="198">
        <v>43849</v>
      </c>
      <c r="J38" s="197" t="s">
        <v>258</v>
      </c>
      <c r="K38" s="196" t="s">
        <v>112</v>
      </c>
      <c r="L38" s="197" t="s">
        <v>113</v>
      </c>
      <c r="M38" s="197" t="s">
        <v>561</v>
      </c>
      <c r="N38" s="197" t="s">
        <v>562</v>
      </c>
      <c r="O38" s="197" t="s">
        <v>113</v>
      </c>
      <c r="P38" s="197" t="s">
        <v>563</v>
      </c>
      <c r="Q38" s="197" t="s">
        <v>66</v>
      </c>
      <c r="R38" s="196"/>
      <c r="S38" s="197" t="s">
        <v>823</v>
      </c>
      <c r="T38" s="197" t="s">
        <v>796</v>
      </c>
      <c r="U38" s="197" t="s">
        <v>824</v>
      </c>
      <c r="V38" s="197"/>
      <c r="W38" s="197"/>
      <c r="X38" s="197" t="s">
        <v>825</v>
      </c>
      <c r="Y38" s="196"/>
      <c r="Z38" s="196"/>
      <c r="AA38" s="199"/>
      <c r="AB38" s="199"/>
      <c r="AC38" s="197" t="s">
        <v>245</v>
      </c>
      <c r="AD38" s="197" t="s">
        <v>826</v>
      </c>
      <c r="AE38" s="197" t="s">
        <v>827</v>
      </c>
      <c r="AF38" s="196" t="s">
        <v>563</v>
      </c>
      <c r="AG38" s="197" t="s">
        <v>114</v>
      </c>
      <c r="AH38" s="197" t="s">
        <v>570</v>
      </c>
    </row>
    <row r="39" spans="1:34" ht="14.25" customHeight="1">
      <c r="A39" s="200">
        <v>187</v>
      </c>
      <c r="B39" s="201" t="s">
        <v>4</v>
      </c>
      <c r="C39" s="201" t="s">
        <v>828</v>
      </c>
      <c r="D39" s="201"/>
      <c r="E39" s="201" t="s">
        <v>151</v>
      </c>
      <c r="F39" s="202">
        <v>33039</v>
      </c>
      <c r="G39" s="201" t="s">
        <v>829</v>
      </c>
      <c r="H39" s="202">
        <v>43849</v>
      </c>
      <c r="I39" s="202">
        <v>43849</v>
      </c>
      <c r="J39" s="201" t="s">
        <v>258</v>
      </c>
      <c r="K39" s="200" t="s">
        <v>112</v>
      </c>
      <c r="L39" s="201" t="s">
        <v>113</v>
      </c>
      <c r="M39" s="201" t="s">
        <v>561</v>
      </c>
      <c r="N39" s="201" t="s">
        <v>562</v>
      </c>
      <c r="O39" s="201" t="s">
        <v>113</v>
      </c>
      <c r="P39" s="201" t="s">
        <v>563</v>
      </c>
      <c r="Q39" s="201" t="s">
        <v>66</v>
      </c>
      <c r="R39" s="200"/>
      <c r="S39" s="201" t="s">
        <v>823</v>
      </c>
      <c r="T39" s="201" t="s">
        <v>796</v>
      </c>
      <c r="U39" s="201" t="s">
        <v>830</v>
      </c>
      <c r="V39" s="201"/>
      <c r="W39" s="201"/>
      <c r="X39" s="201" t="s">
        <v>831</v>
      </c>
      <c r="Y39" s="200"/>
      <c r="Z39" s="200"/>
      <c r="AA39" s="203"/>
      <c r="AB39" s="203"/>
      <c r="AC39" s="201" t="s">
        <v>245</v>
      </c>
      <c r="AD39" s="201" t="s">
        <v>832</v>
      </c>
      <c r="AE39" s="201" t="s">
        <v>833</v>
      </c>
      <c r="AF39" s="200" t="s">
        <v>563</v>
      </c>
      <c r="AG39" s="201" t="s">
        <v>114</v>
      </c>
      <c r="AH39" s="201" t="s">
        <v>570</v>
      </c>
    </row>
    <row r="40" spans="1:34" ht="14.25" customHeight="1">
      <c r="A40" s="200">
        <v>191</v>
      </c>
      <c r="B40" s="201" t="s">
        <v>6</v>
      </c>
      <c r="C40" s="201" t="s">
        <v>834</v>
      </c>
      <c r="D40" s="201"/>
      <c r="E40" s="201" t="s">
        <v>151</v>
      </c>
      <c r="F40" s="202">
        <v>33257</v>
      </c>
      <c r="G40" s="201" t="s">
        <v>835</v>
      </c>
      <c r="H40" s="202">
        <v>44535</v>
      </c>
      <c r="I40" s="202">
        <v>44535</v>
      </c>
      <c r="J40" s="201" t="s">
        <v>258</v>
      </c>
      <c r="K40" s="200" t="s">
        <v>112</v>
      </c>
      <c r="L40" s="201" t="s">
        <v>113</v>
      </c>
      <c r="M40" s="201" t="s">
        <v>561</v>
      </c>
      <c r="N40" s="201" t="s">
        <v>562</v>
      </c>
      <c r="O40" s="201" t="s">
        <v>113</v>
      </c>
      <c r="P40" s="201" t="s">
        <v>563</v>
      </c>
      <c r="Q40" s="201" t="s">
        <v>66</v>
      </c>
      <c r="R40" s="200"/>
      <c r="S40" s="201" t="s">
        <v>836</v>
      </c>
      <c r="T40" s="201" t="s">
        <v>605</v>
      </c>
      <c r="U40" s="201" t="s">
        <v>837</v>
      </c>
      <c r="V40" s="201"/>
      <c r="W40" s="201"/>
      <c r="X40" s="201" t="s">
        <v>838</v>
      </c>
      <c r="Y40" s="200"/>
      <c r="Z40" s="200"/>
      <c r="AA40" s="203"/>
      <c r="AB40" s="203"/>
      <c r="AC40" s="201" t="s">
        <v>245</v>
      </c>
      <c r="AD40" s="201" t="s">
        <v>839</v>
      </c>
      <c r="AE40" s="201" t="s">
        <v>840</v>
      </c>
      <c r="AF40" s="200" t="s">
        <v>563</v>
      </c>
      <c r="AG40" s="201" t="s">
        <v>114</v>
      </c>
      <c r="AH40" s="201" t="s">
        <v>570</v>
      </c>
    </row>
    <row r="41" spans="1:34" ht="14.25" customHeight="1">
      <c r="A41" s="196">
        <v>192</v>
      </c>
      <c r="B41" s="197" t="s">
        <v>7</v>
      </c>
      <c r="C41" s="197" t="s">
        <v>433</v>
      </c>
      <c r="D41" s="197"/>
      <c r="E41" s="197" t="s">
        <v>151</v>
      </c>
      <c r="F41" s="198">
        <v>33394</v>
      </c>
      <c r="G41" s="197" t="s">
        <v>841</v>
      </c>
      <c r="H41" s="198">
        <v>44469</v>
      </c>
      <c r="I41" s="198">
        <v>44469</v>
      </c>
      <c r="J41" s="197" t="s">
        <v>258</v>
      </c>
      <c r="K41" s="196" t="s">
        <v>112</v>
      </c>
      <c r="L41" s="197" t="s">
        <v>113</v>
      </c>
      <c r="M41" s="197" t="s">
        <v>561</v>
      </c>
      <c r="N41" s="197" t="s">
        <v>562</v>
      </c>
      <c r="O41" s="197" t="s">
        <v>113</v>
      </c>
      <c r="P41" s="197" t="s">
        <v>563</v>
      </c>
      <c r="Q41" s="197" t="s">
        <v>158</v>
      </c>
      <c r="R41" s="196"/>
      <c r="S41" s="197" t="s">
        <v>842</v>
      </c>
      <c r="T41" s="197" t="s">
        <v>605</v>
      </c>
      <c r="U41" s="197" t="s">
        <v>843</v>
      </c>
      <c r="V41" s="197"/>
      <c r="W41" s="197"/>
      <c r="X41" s="197" t="s">
        <v>844</v>
      </c>
      <c r="Y41" s="196"/>
      <c r="Z41" s="196"/>
      <c r="AA41" s="199"/>
      <c r="AB41" s="199"/>
      <c r="AC41" s="197" t="s">
        <v>245</v>
      </c>
      <c r="AD41" s="197" t="s">
        <v>845</v>
      </c>
      <c r="AE41" s="197" t="s">
        <v>846</v>
      </c>
      <c r="AF41" s="196" t="s">
        <v>563</v>
      </c>
      <c r="AG41" s="197" t="s">
        <v>114</v>
      </c>
      <c r="AH41" s="197" t="s">
        <v>570</v>
      </c>
    </row>
    <row r="42" spans="1:34" ht="14.25" customHeight="1">
      <c r="A42" s="200">
        <v>195</v>
      </c>
      <c r="B42" s="201" t="s">
        <v>186</v>
      </c>
      <c r="C42" s="201" t="s">
        <v>847</v>
      </c>
      <c r="D42" s="201"/>
      <c r="E42" s="201" t="s">
        <v>151</v>
      </c>
      <c r="F42" s="202">
        <v>35792</v>
      </c>
      <c r="G42" s="201" t="s">
        <v>848</v>
      </c>
      <c r="H42" s="202">
        <v>44580</v>
      </c>
      <c r="I42" s="202">
        <v>44580</v>
      </c>
      <c r="J42" s="201" t="s">
        <v>258</v>
      </c>
      <c r="K42" s="200" t="s">
        <v>112</v>
      </c>
      <c r="L42" s="201" t="s">
        <v>113</v>
      </c>
      <c r="M42" s="201" t="s">
        <v>561</v>
      </c>
      <c r="N42" s="201" t="s">
        <v>591</v>
      </c>
      <c r="O42" s="201" t="s">
        <v>113</v>
      </c>
      <c r="P42" s="201" t="s">
        <v>563</v>
      </c>
      <c r="Q42" s="201" t="s">
        <v>66</v>
      </c>
      <c r="R42" s="200"/>
      <c r="S42" s="201" t="s">
        <v>849</v>
      </c>
      <c r="T42" s="201" t="s">
        <v>649</v>
      </c>
      <c r="U42" s="201" t="s">
        <v>850</v>
      </c>
      <c r="V42" s="201"/>
      <c r="W42" s="201"/>
      <c r="X42" s="201" t="s">
        <v>851</v>
      </c>
      <c r="Y42" s="200"/>
      <c r="Z42" s="200"/>
      <c r="AA42" s="203"/>
      <c r="AB42" s="203"/>
      <c r="AC42" s="201" t="s">
        <v>245</v>
      </c>
      <c r="AD42" s="201" t="s">
        <v>852</v>
      </c>
      <c r="AE42" s="201" t="s">
        <v>853</v>
      </c>
      <c r="AF42" s="200" t="s">
        <v>563</v>
      </c>
      <c r="AG42" s="201" t="s">
        <v>114</v>
      </c>
      <c r="AH42" s="201" t="s">
        <v>570</v>
      </c>
    </row>
    <row r="43" spans="1:34" ht="14.25" customHeight="1">
      <c r="A43" s="200">
        <v>201</v>
      </c>
      <c r="B43" s="201" t="s">
        <v>186</v>
      </c>
      <c r="C43" s="201" t="s">
        <v>394</v>
      </c>
      <c r="D43" s="201"/>
      <c r="E43" s="201" t="s">
        <v>151</v>
      </c>
      <c r="F43" s="202">
        <v>31650</v>
      </c>
      <c r="G43" s="201" t="s">
        <v>854</v>
      </c>
      <c r="H43" s="202">
        <v>44640</v>
      </c>
      <c r="I43" s="202">
        <v>44640</v>
      </c>
      <c r="J43" s="201" t="s">
        <v>258</v>
      </c>
      <c r="K43" s="200" t="s">
        <v>112</v>
      </c>
      <c r="L43" s="201" t="s">
        <v>113</v>
      </c>
      <c r="M43" s="201" t="s">
        <v>561</v>
      </c>
      <c r="N43" s="201" t="s">
        <v>562</v>
      </c>
      <c r="O43" s="201" t="s">
        <v>113</v>
      </c>
      <c r="P43" s="201" t="s">
        <v>563</v>
      </c>
      <c r="Q43" s="201" t="s">
        <v>66</v>
      </c>
      <c r="R43" s="200"/>
      <c r="S43" s="201" t="s">
        <v>855</v>
      </c>
      <c r="T43" s="201" t="s">
        <v>649</v>
      </c>
      <c r="U43" s="201" t="s">
        <v>856</v>
      </c>
      <c r="V43" s="201"/>
      <c r="W43" s="201"/>
      <c r="X43" s="201" t="s">
        <v>857</v>
      </c>
      <c r="Y43" s="200"/>
      <c r="Z43" s="200"/>
      <c r="AA43" s="203"/>
      <c r="AB43" s="203"/>
      <c r="AC43" s="201" t="s">
        <v>245</v>
      </c>
      <c r="AD43" s="201" t="s">
        <v>858</v>
      </c>
      <c r="AE43" s="201" t="s">
        <v>859</v>
      </c>
      <c r="AF43" s="200" t="s">
        <v>563</v>
      </c>
      <c r="AG43" s="201" t="s">
        <v>114</v>
      </c>
      <c r="AH43" s="201" t="s">
        <v>570</v>
      </c>
    </row>
    <row r="44" spans="1:34" ht="14.25" customHeight="1">
      <c r="A44" s="196">
        <v>208</v>
      </c>
      <c r="B44" s="197" t="s">
        <v>149</v>
      </c>
      <c r="C44" s="197" t="s">
        <v>438</v>
      </c>
      <c r="D44" s="197"/>
      <c r="E44" s="196"/>
      <c r="F44" s="198">
        <v>27230</v>
      </c>
      <c r="G44" s="197" t="s">
        <v>860</v>
      </c>
      <c r="H44" s="198">
        <v>43814</v>
      </c>
      <c r="I44" s="198">
        <v>43814</v>
      </c>
      <c r="J44" s="197" t="s">
        <v>258</v>
      </c>
      <c r="K44" s="196" t="s">
        <v>112</v>
      </c>
      <c r="L44" s="197" t="s">
        <v>113</v>
      </c>
      <c r="M44" s="197" t="s">
        <v>561</v>
      </c>
      <c r="N44" s="197" t="s">
        <v>562</v>
      </c>
      <c r="O44" s="197" t="s">
        <v>113</v>
      </c>
      <c r="P44" s="197" t="s">
        <v>563</v>
      </c>
      <c r="Q44" s="197" t="s">
        <v>214</v>
      </c>
      <c r="R44" s="196"/>
      <c r="S44" s="197" t="s">
        <v>861</v>
      </c>
      <c r="T44" s="197" t="s">
        <v>698</v>
      </c>
      <c r="U44" s="197" t="s">
        <v>862</v>
      </c>
      <c r="V44" s="197"/>
      <c r="W44" s="197"/>
      <c r="X44" s="197" t="s">
        <v>863</v>
      </c>
      <c r="Y44" s="196"/>
      <c r="Z44" s="196"/>
      <c r="AA44" s="199"/>
      <c r="AB44" s="199"/>
      <c r="AC44" s="197" t="s">
        <v>245</v>
      </c>
      <c r="AD44" s="197" t="s">
        <v>864</v>
      </c>
      <c r="AE44" s="197" t="s">
        <v>865</v>
      </c>
      <c r="AF44" s="196" t="s">
        <v>563</v>
      </c>
      <c r="AG44" s="197" t="s">
        <v>114</v>
      </c>
      <c r="AH44" s="197" t="s">
        <v>570</v>
      </c>
    </row>
    <row r="45" spans="1:34" ht="14.25" customHeight="1">
      <c r="A45" s="200">
        <v>215</v>
      </c>
      <c r="B45" s="201" t="s">
        <v>4</v>
      </c>
      <c r="C45" s="201" t="s">
        <v>866</v>
      </c>
      <c r="D45" s="201"/>
      <c r="E45" s="201" t="s">
        <v>151</v>
      </c>
      <c r="F45" s="202">
        <v>31071</v>
      </c>
      <c r="G45" s="201" t="s">
        <v>867</v>
      </c>
      <c r="H45" s="202">
        <v>43009</v>
      </c>
      <c r="I45" s="202">
        <v>43009</v>
      </c>
      <c r="J45" s="201" t="s">
        <v>258</v>
      </c>
      <c r="K45" s="200" t="s">
        <v>112</v>
      </c>
      <c r="L45" s="201" t="s">
        <v>113</v>
      </c>
      <c r="M45" s="201" t="s">
        <v>561</v>
      </c>
      <c r="N45" s="201" t="s">
        <v>562</v>
      </c>
      <c r="O45" s="201" t="s">
        <v>113</v>
      </c>
      <c r="P45" s="201" t="s">
        <v>563</v>
      </c>
      <c r="Q45" s="201" t="s">
        <v>193</v>
      </c>
      <c r="R45" s="200"/>
      <c r="S45" s="201" t="s">
        <v>789</v>
      </c>
      <c r="T45" s="201" t="s">
        <v>757</v>
      </c>
      <c r="U45" s="201" t="s">
        <v>868</v>
      </c>
      <c r="V45" s="201"/>
      <c r="W45" s="201"/>
      <c r="X45" s="201" t="s">
        <v>869</v>
      </c>
      <c r="Y45" s="200"/>
      <c r="Z45" s="200"/>
      <c r="AA45" s="203"/>
      <c r="AB45" s="203"/>
      <c r="AC45" s="201" t="s">
        <v>245</v>
      </c>
      <c r="AD45" s="201" t="s">
        <v>870</v>
      </c>
      <c r="AE45" s="201" t="s">
        <v>871</v>
      </c>
      <c r="AF45" s="200" t="s">
        <v>563</v>
      </c>
      <c r="AG45" s="201" t="s">
        <v>114</v>
      </c>
      <c r="AH45" s="201" t="s">
        <v>570</v>
      </c>
    </row>
    <row r="46" spans="1:34" ht="14.25" customHeight="1">
      <c r="A46" s="200">
        <v>219</v>
      </c>
      <c r="B46" s="201" t="s">
        <v>4</v>
      </c>
      <c r="C46" s="201" t="s">
        <v>872</v>
      </c>
      <c r="D46" s="201"/>
      <c r="E46" s="201" t="s">
        <v>151</v>
      </c>
      <c r="F46" s="202">
        <v>31800</v>
      </c>
      <c r="G46" s="201" t="s">
        <v>873</v>
      </c>
      <c r="H46" s="202">
        <v>43009</v>
      </c>
      <c r="I46" s="202">
        <v>43009</v>
      </c>
      <c r="J46" s="201" t="s">
        <v>258</v>
      </c>
      <c r="K46" s="200" t="s">
        <v>112</v>
      </c>
      <c r="L46" s="201" t="s">
        <v>113</v>
      </c>
      <c r="M46" s="201" t="s">
        <v>561</v>
      </c>
      <c r="N46" s="201" t="s">
        <v>562</v>
      </c>
      <c r="O46" s="201" t="s">
        <v>113</v>
      </c>
      <c r="P46" s="201" t="s">
        <v>563</v>
      </c>
      <c r="Q46" s="201" t="s">
        <v>66</v>
      </c>
      <c r="R46" s="200"/>
      <c r="S46" s="201" t="s">
        <v>789</v>
      </c>
      <c r="T46" s="201" t="s">
        <v>757</v>
      </c>
      <c r="U46" s="201" t="s">
        <v>874</v>
      </c>
      <c r="V46" s="201"/>
      <c r="W46" s="201"/>
      <c r="X46" s="201" t="s">
        <v>875</v>
      </c>
      <c r="Y46" s="200"/>
      <c r="Z46" s="200"/>
      <c r="AA46" s="203"/>
      <c r="AB46" s="203"/>
      <c r="AC46" s="201" t="s">
        <v>245</v>
      </c>
      <c r="AD46" s="201" t="s">
        <v>876</v>
      </c>
      <c r="AE46" s="201" t="s">
        <v>877</v>
      </c>
      <c r="AF46" s="200" t="s">
        <v>563</v>
      </c>
      <c r="AG46" s="201" t="s">
        <v>114</v>
      </c>
      <c r="AH46" s="201" t="s">
        <v>570</v>
      </c>
    </row>
    <row r="47" spans="1:34" ht="14.25" customHeight="1">
      <c r="A47" s="196">
        <v>258</v>
      </c>
      <c r="B47" s="197" t="s">
        <v>4</v>
      </c>
      <c r="C47" s="197" t="s">
        <v>878</v>
      </c>
      <c r="D47" s="197"/>
      <c r="E47" s="197" t="s">
        <v>151</v>
      </c>
      <c r="F47" s="198">
        <v>29812</v>
      </c>
      <c r="G47" s="197" t="s">
        <v>879</v>
      </c>
      <c r="H47" s="198">
        <v>44472</v>
      </c>
      <c r="I47" s="198">
        <v>44472</v>
      </c>
      <c r="J47" s="197" t="s">
        <v>258</v>
      </c>
      <c r="K47" s="196" t="s">
        <v>112</v>
      </c>
      <c r="L47" s="197" t="s">
        <v>113</v>
      </c>
      <c r="M47" s="197" t="s">
        <v>561</v>
      </c>
      <c r="N47" s="197" t="s">
        <v>562</v>
      </c>
      <c r="O47" s="197" t="s">
        <v>113</v>
      </c>
      <c r="P47" s="197" t="s">
        <v>563</v>
      </c>
      <c r="Q47" s="197" t="s">
        <v>66</v>
      </c>
      <c r="R47" s="196"/>
      <c r="S47" s="197" t="s">
        <v>880</v>
      </c>
      <c r="T47" s="197" t="s">
        <v>605</v>
      </c>
      <c r="U47" s="197" t="s">
        <v>881</v>
      </c>
      <c r="V47" s="197"/>
      <c r="W47" s="197"/>
      <c r="X47" s="197" t="s">
        <v>882</v>
      </c>
      <c r="Y47" s="196"/>
      <c r="Z47" s="196"/>
      <c r="AA47" s="199"/>
      <c r="AB47" s="199"/>
      <c r="AC47" s="197" t="s">
        <v>245</v>
      </c>
      <c r="AD47" s="197" t="s">
        <v>883</v>
      </c>
      <c r="AE47" s="197" t="s">
        <v>884</v>
      </c>
      <c r="AF47" s="196" t="s">
        <v>563</v>
      </c>
      <c r="AG47" s="197" t="s">
        <v>114</v>
      </c>
      <c r="AH47" s="197" t="s">
        <v>570</v>
      </c>
    </row>
    <row r="48" spans="1:34" ht="14.25" customHeight="1">
      <c r="A48" s="200">
        <v>277</v>
      </c>
      <c r="B48" s="201" t="s">
        <v>4</v>
      </c>
      <c r="C48" s="201" t="s">
        <v>885</v>
      </c>
      <c r="D48" s="201"/>
      <c r="E48" s="201" t="s">
        <v>151</v>
      </c>
      <c r="F48" s="202">
        <v>28647</v>
      </c>
      <c r="G48" s="201" t="s">
        <v>886</v>
      </c>
      <c r="H48" s="202">
        <v>43009</v>
      </c>
      <c r="I48" s="202">
        <v>43009</v>
      </c>
      <c r="J48" s="201" t="s">
        <v>258</v>
      </c>
      <c r="K48" s="200" t="s">
        <v>112</v>
      </c>
      <c r="L48" s="201" t="s">
        <v>113</v>
      </c>
      <c r="M48" s="201" t="s">
        <v>561</v>
      </c>
      <c r="N48" s="201" t="s">
        <v>562</v>
      </c>
      <c r="O48" s="201" t="s">
        <v>113</v>
      </c>
      <c r="P48" s="201" t="s">
        <v>563</v>
      </c>
      <c r="Q48" s="201" t="s">
        <v>66</v>
      </c>
      <c r="R48" s="200"/>
      <c r="S48" s="201" t="s">
        <v>789</v>
      </c>
      <c r="T48" s="201" t="s">
        <v>757</v>
      </c>
      <c r="U48" s="201" t="s">
        <v>887</v>
      </c>
      <c r="V48" s="201"/>
      <c r="W48" s="201"/>
      <c r="X48" s="201" t="s">
        <v>888</v>
      </c>
      <c r="Y48" s="200"/>
      <c r="Z48" s="200"/>
      <c r="AA48" s="203"/>
      <c r="AB48" s="203"/>
      <c r="AC48" s="201" t="s">
        <v>245</v>
      </c>
      <c r="AD48" s="201" t="s">
        <v>889</v>
      </c>
      <c r="AE48" s="201" t="s">
        <v>890</v>
      </c>
      <c r="AF48" s="200" t="s">
        <v>563</v>
      </c>
      <c r="AG48" s="201" t="s">
        <v>114</v>
      </c>
      <c r="AH48" s="201" t="s">
        <v>570</v>
      </c>
    </row>
    <row r="49" spans="1:34" ht="14.25" customHeight="1">
      <c r="A49" s="200">
        <v>281</v>
      </c>
      <c r="B49" s="201" t="s">
        <v>6</v>
      </c>
      <c r="C49" s="201" t="s">
        <v>891</v>
      </c>
      <c r="D49" s="201"/>
      <c r="E49" s="201" t="s">
        <v>151</v>
      </c>
      <c r="F49" s="202">
        <v>31315</v>
      </c>
      <c r="G49" s="201" t="s">
        <v>892</v>
      </c>
      <c r="H49" s="202">
        <v>43009</v>
      </c>
      <c r="I49" s="202">
        <v>43009</v>
      </c>
      <c r="J49" s="201" t="s">
        <v>258</v>
      </c>
      <c r="K49" s="200" t="s">
        <v>112</v>
      </c>
      <c r="L49" s="201" t="s">
        <v>113</v>
      </c>
      <c r="M49" s="201" t="s">
        <v>561</v>
      </c>
      <c r="N49" s="201" t="s">
        <v>562</v>
      </c>
      <c r="O49" s="201" t="s">
        <v>113</v>
      </c>
      <c r="P49" s="201" t="s">
        <v>563</v>
      </c>
      <c r="Q49" s="201" t="s">
        <v>66</v>
      </c>
      <c r="R49" s="200"/>
      <c r="S49" s="201" t="s">
        <v>789</v>
      </c>
      <c r="T49" s="201" t="s">
        <v>757</v>
      </c>
      <c r="U49" s="201" t="s">
        <v>893</v>
      </c>
      <c r="V49" s="201"/>
      <c r="W49" s="201"/>
      <c r="X49" s="201" t="s">
        <v>894</v>
      </c>
      <c r="Y49" s="200"/>
      <c r="Z49" s="200"/>
      <c r="AA49" s="203"/>
      <c r="AB49" s="203"/>
      <c r="AC49" s="201" t="s">
        <v>245</v>
      </c>
      <c r="AD49" s="201" t="s">
        <v>895</v>
      </c>
      <c r="AE49" s="201" t="s">
        <v>896</v>
      </c>
      <c r="AF49" s="200" t="s">
        <v>563</v>
      </c>
      <c r="AG49" s="201" t="s">
        <v>114</v>
      </c>
      <c r="AH49" s="201" t="s">
        <v>570</v>
      </c>
    </row>
    <row r="50" spans="1:34" ht="14.25" customHeight="1">
      <c r="A50" s="200">
        <v>285</v>
      </c>
      <c r="B50" s="201" t="s">
        <v>4</v>
      </c>
      <c r="C50" s="201" t="s">
        <v>897</v>
      </c>
      <c r="D50" s="201"/>
      <c r="E50" s="201" t="s">
        <v>151</v>
      </c>
      <c r="F50" s="202">
        <v>32291</v>
      </c>
      <c r="G50" s="201" t="s">
        <v>898</v>
      </c>
      <c r="H50" s="202">
        <v>44157</v>
      </c>
      <c r="I50" s="202">
        <v>44157</v>
      </c>
      <c r="J50" s="201" t="s">
        <v>258</v>
      </c>
      <c r="K50" s="200" t="s">
        <v>112</v>
      </c>
      <c r="L50" s="201" t="s">
        <v>113</v>
      </c>
      <c r="M50" s="201" t="s">
        <v>561</v>
      </c>
      <c r="N50" s="201" t="s">
        <v>562</v>
      </c>
      <c r="O50" s="201" t="s">
        <v>113</v>
      </c>
      <c r="P50" s="201" t="s">
        <v>563</v>
      </c>
      <c r="Q50" s="201" t="s">
        <v>66</v>
      </c>
      <c r="R50" s="200"/>
      <c r="S50" s="201" t="s">
        <v>899</v>
      </c>
      <c r="T50" s="201" t="s">
        <v>796</v>
      </c>
      <c r="U50" s="201" t="s">
        <v>900</v>
      </c>
      <c r="V50" s="201"/>
      <c r="W50" s="201"/>
      <c r="X50" s="201" t="s">
        <v>901</v>
      </c>
      <c r="Y50" s="200"/>
      <c r="Z50" s="200"/>
      <c r="AA50" s="203"/>
      <c r="AB50" s="203"/>
      <c r="AC50" s="201" t="s">
        <v>245</v>
      </c>
      <c r="AD50" s="201" t="s">
        <v>902</v>
      </c>
      <c r="AE50" s="201" t="s">
        <v>903</v>
      </c>
      <c r="AF50" s="200" t="s">
        <v>563</v>
      </c>
      <c r="AG50" s="201" t="s">
        <v>114</v>
      </c>
      <c r="AH50" s="201" t="s">
        <v>570</v>
      </c>
    </row>
    <row r="51" spans="1:34" ht="14.25" customHeight="1">
      <c r="A51" s="196">
        <v>292</v>
      </c>
      <c r="B51" s="197" t="s">
        <v>7</v>
      </c>
      <c r="C51" s="197" t="s">
        <v>904</v>
      </c>
      <c r="D51" s="197"/>
      <c r="E51" s="197" t="s">
        <v>572</v>
      </c>
      <c r="F51" s="198">
        <v>21551</v>
      </c>
      <c r="G51" s="197" t="s">
        <v>905</v>
      </c>
      <c r="H51" s="198">
        <v>42583</v>
      </c>
      <c r="I51" s="198">
        <v>42583</v>
      </c>
      <c r="J51" s="197" t="s">
        <v>242</v>
      </c>
      <c r="K51" s="196" t="s">
        <v>112</v>
      </c>
      <c r="L51" s="197" t="s">
        <v>132</v>
      </c>
      <c r="M51" s="197" t="s">
        <v>561</v>
      </c>
      <c r="N51" s="197" t="s">
        <v>562</v>
      </c>
      <c r="O51" s="197" t="s">
        <v>132</v>
      </c>
      <c r="P51" s="197" t="s">
        <v>563</v>
      </c>
      <c r="Q51" s="197" t="s">
        <v>9</v>
      </c>
      <c r="R51" s="196"/>
      <c r="S51" s="197" t="s">
        <v>906</v>
      </c>
      <c r="T51" s="197" t="s">
        <v>584</v>
      </c>
      <c r="U51" s="197" t="s">
        <v>907</v>
      </c>
      <c r="V51" s="197"/>
      <c r="W51" s="197"/>
      <c r="X51" s="197" t="s">
        <v>908</v>
      </c>
      <c r="Y51" s="196"/>
      <c r="Z51" s="196"/>
      <c r="AA51" s="199"/>
      <c r="AB51" s="199"/>
      <c r="AC51" s="197" t="s">
        <v>245</v>
      </c>
      <c r="AD51" s="197" t="s">
        <v>909</v>
      </c>
      <c r="AE51" s="197" t="s">
        <v>910</v>
      </c>
      <c r="AF51" s="196" t="s">
        <v>563</v>
      </c>
      <c r="AG51" s="197" t="s">
        <v>114</v>
      </c>
      <c r="AH51" s="197" t="s">
        <v>570</v>
      </c>
    </row>
    <row r="52" spans="1:34" ht="14.25" customHeight="1">
      <c r="A52" s="200">
        <v>293</v>
      </c>
      <c r="B52" s="201" t="s">
        <v>4</v>
      </c>
      <c r="C52" s="201" t="s">
        <v>911</v>
      </c>
      <c r="D52" s="201"/>
      <c r="E52" s="201" t="s">
        <v>572</v>
      </c>
      <c r="F52" s="202">
        <v>31413</v>
      </c>
      <c r="G52" s="201" t="s">
        <v>912</v>
      </c>
      <c r="H52" s="202">
        <v>42583</v>
      </c>
      <c r="I52" s="202">
        <v>42583</v>
      </c>
      <c r="J52" s="201" t="s">
        <v>242</v>
      </c>
      <c r="K52" s="200" t="s">
        <v>112</v>
      </c>
      <c r="L52" s="201" t="s">
        <v>132</v>
      </c>
      <c r="M52" s="201" t="s">
        <v>561</v>
      </c>
      <c r="N52" s="201" t="s">
        <v>562</v>
      </c>
      <c r="O52" s="201" t="s">
        <v>132</v>
      </c>
      <c r="P52" s="201" t="s">
        <v>563</v>
      </c>
      <c r="Q52" s="201" t="s">
        <v>9</v>
      </c>
      <c r="R52" s="200"/>
      <c r="S52" s="201" t="s">
        <v>906</v>
      </c>
      <c r="T52" s="201" t="s">
        <v>584</v>
      </c>
      <c r="U52" s="201" t="s">
        <v>913</v>
      </c>
      <c r="V52" s="200"/>
      <c r="W52" s="200"/>
      <c r="X52" s="201" t="s">
        <v>914</v>
      </c>
      <c r="Y52" s="200"/>
      <c r="Z52" s="200"/>
      <c r="AA52" s="203"/>
      <c r="AB52" s="203"/>
      <c r="AC52" s="201" t="s">
        <v>245</v>
      </c>
      <c r="AD52" s="201" t="s">
        <v>915</v>
      </c>
      <c r="AE52" s="201" t="s">
        <v>916</v>
      </c>
      <c r="AF52" s="200" t="s">
        <v>563</v>
      </c>
      <c r="AG52" s="201" t="s">
        <v>114</v>
      </c>
      <c r="AH52" s="201" t="s">
        <v>570</v>
      </c>
    </row>
    <row r="53" spans="1:34" ht="14.25" customHeight="1">
      <c r="A53" s="200">
        <v>297</v>
      </c>
      <c r="B53" s="201" t="s">
        <v>7</v>
      </c>
      <c r="C53" s="201" t="s">
        <v>917</v>
      </c>
      <c r="D53" s="201"/>
      <c r="E53" s="201" t="s">
        <v>572</v>
      </c>
      <c r="F53" s="202">
        <v>29587</v>
      </c>
      <c r="G53" s="201" t="s">
        <v>918</v>
      </c>
      <c r="H53" s="202">
        <v>42583</v>
      </c>
      <c r="I53" s="202">
        <v>42583</v>
      </c>
      <c r="J53" s="201" t="s">
        <v>242</v>
      </c>
      <c r="K53" s="200" t="s">
        <v>112</v>
      </c>
      <c r="L53" s="201" t="s">
        <v>118</v>
      </c>
      <c r="M53" s="201" t="s">
        <v>561</v>
      </c>
      <c r="N53" s="201" t="s">
        <v>562</v>
      </c>
      <c r="O53" s="201" t="s">
        <v>118</v>
      </c>
      <c r="P53" s="201" t="s">
        <v>563</v>
      </c>
      <c r="Q53" s="201" t="s">
        <v>9</v>
      </c>
      <c r="R53" s="200"/>
      <c r="S53" s="201" t="s">
        <v>906</v>
      </c>
      <c r="T53" s="201" t="s">
        <v>584</v>
      </c>
      <c r="U53" s="201" t="s">
        <v>919</v>
      </c>
      <c r="V53" s="200"/>
      <c r="W53" s="200"/>
      <c r="X53" s="201" t="s">
        <v>920</v>
      </c>
      <c r="Y53" s="200"/>
      <c r="Z53" s="200"/>
      <c r="AA53" s="203"/>
      <c r="AB53" s="203"/>
      <c r="AC53" s="201" t="s">
        <v>245</v>
      </c>
      <c r="AD53" s="201" t="s">
        <v>921</v>
      </c>
      <c r="AE53" s="201" t="s">
        <v>922</v>
      </c>
      <c r="AF53" s="200" t="s">
        <v>563</v>
      </c>
      <c r="AG53" s="201" t="s">
        <v>114</v>
      </c>
      <c r="AH53" s="201" t="s">
        <v>570</v>
      </c>
    </row>
    <row r="54" spans="1:34" ht="14.25" customHeight="1">
      <c r="A54" s="200">
        <v>315</v>
      </c>
      <c r="B54" s="201" t="s">
        <v>4</v>
      </c>
      <c r="C54" s="201" t="s">
        <v>923</v>
      </c>
      <c r="D54" s="201"/>
      <c r="E54" s="201" t="s">
        <v>572</v>
      </c>
      <c r="F54" s="202">
        <v>30746</v>
      </c>
      <c r="G54" s="201" t="s">
        <v>924</v>
      </c>
      <c r="H54" s="202">
        <v>42590</v>
      </c>
      <c r="I54" s="202">
        <v>42590</v>
      </c>
      <c r="J54" s="201" t="s">
        <v>242</v>
      </c>
      <c r="K54" s="200" t="s">
        <v>112</v>
      </c>
      <c r="L54" s="201" t="s">
        <v>126</v>
      </c>
      <c r="M54" s="201" t="s">
        <v>561</v>
      </c>
      <c r="N54" s="201" t="s">
        <v>591</v>
      </c>
      <c r="O54" s="201" t="s">
        <v>126</v>
      </c>
      <c r="P54" s="201" t="s">
        <v>563</v>
      </c>
      <c r="Q54" s="201" t="s">
        <v>295</v>
      </c>
      <c r="R54" s="200"/>
      <c r="S54" s="201" t="s">
        <v>925</v>
      </c>
      <c r="T54" s="201" t="s">
        <v>584</v>
      </c>
      <c r="U54" s="201" t="s">
        <v>926</v>
      </c>
      <c r="V54" s="200"/>
      <c r="W54" s="200"/>
      <c r="X54" s="201" t="s">
        <v>927</v>
      </c>
      <c r="Y54" s="200"/>
      <c r="Z54" s="200"/>
      <c r="AA54" s="203"/>
      <c r="AB54" s="203"/>
      <c r="AC54" s="201" t="s">
        <v>245</v>
      </c>
      <c r="AD54" s="201" t="s">
        <v>928</v>
      </c>
      <c r="AE54" s="201" t="s">
        <v>929</v>
      </c>
      <c r="AF54" s="200" t="s">
        <v>563</v>
      </c>
      <c r="AG54" s="201" t="s">
        <v>114</v>
      </c>
      <c r="AH54" s="201" t="s">
        <v>570</v>
      </c>
    </row>
    <row r="55" spans="1:34" ht="14.25" customHeight="1">
      <c r="A55" s="196">
        <v>320</v>
      </c>
      <c r="B55" s="197" t="s">
        <v>7</v>
      </c>
      <c r="C55" s="197" t="s">
        <v>930</v>
      </c>
      <c r="D55" s="197"/>
      <c r="E55" s="197" t="s">
        <v>572</v>
      </c>
      <c r="F55" s="198">
        <v>28388</v>
      </c>
      <c r="G55" s="197" t="s">
        <v>931</v>
      </c>
      <c r="H55" s="198">
        <v>42743</v>
      </c>
      <c r="I55" s="198">
        <v>42743</v>
      </c>
      <c r="J55" s="197" t="s">
        <v>242</v>
      </c>
      <c r="K55" s="196" t="s">
        <v>112</v>
      </c>
      <c r="L55" s="197" t="s">
        <v>122</v>
      </c>
      <c r="M55" s="197" t="s">
        <v>561</v>
      </c>
      <c r="N55" s="197" t="s">
        <v>591</v>
      </c>
      <c r="O55" s="197" t="s">
        <v>932</v>
      </c>
      <c r="P55" s="197" t="s">
        <v>563</v>
      </c>
      <c r="Q55" s="197" t="s">
        <v>295</v>
      </c>
      <c r="R55" s="196"/>
      <c r="S55" s="197" t="s">
        <v>933</v>
      </c>
      <c r="T55" s="197" t="s">
        <v>757</v>
      </c>
      <c r="U55" s="197" t="s">
        <v>934</v>
      </c>
      <c r="V55" s="196"/>
      <c r="W55" s="196"/>
      <c r="X55" s="197" t="s">
        <v>935</v>
      </c>
      <c r="Y55" s="196"/>
      <c r="Z55" s="196"/>
      <c r="AA55" s="199"/>
      <c r="AB55" s="199"/>
      <c r="AC55" s="197" t="s">
        <v>245</v>
      </c>
      <c r="AD55" s="197" t="s">
        <v>936</v>
      </c>
      <c r="AE55" s="197" t="s">
        <v>937</v>
      </c>
      <c r="AF55" s="196" t="s">
        <v>563</v>
      </c>
      <c r="AG55" s="197" t="s">
        <v>114</v>
      </c>
      <c r="AH55" s="197" t="s">
        <v>570</v>
      </c>
    </row>
    <row r="56" spans="1:34" ht="14.25" customHeight="1">
      <c r="A56" s="200">
        <v>321</v>
      </c>
      <c r="B56" s="201" t="s">
        <v>4</v>
      </c>
      <c r="C56" s="201" t="s">
        <v>938</v>
      </c>
      <c r="D56" s="201"/>
      <c r="E56" s="201" t="s">
        <v>572</v>
      </c>
      <c r="F56" s="202">
        <v>31581</v>
      </c>
      <c r="G56" s="201" t="s">
        <v>939</v>
      </c>
      <c r="H56" s="202">
        <v>42743</v>
      </c>
      <c r="I56" s="202">
        <v>42743</v>
      </c>
      <c r="J56" s="201" t="s">
        <v>242</v>
      </c>
      <c r="K56" s="200" t="s">
        <v>112</v>
      </c>
      <c r="L56" s="201" t="s">
        <v>122</v>
      </c>
      <c r="M56" s="201" t="s">
        <v>561</v>
      </c>
      <c r="N56" s="201" t="s">
        <v>591</v>
      </c>
      <c r="O56" s="201" t="s">
        <v>932</v>
      </c>
      <c r="P56" s="201" t="s">
        <v>563</v>
      </c>
      <c r="Q56" s="201" t="s">
        <v>295</v>
      </c>
      <c r="R56" s="200"/>
      <c r="S56" s="201" t="s">
        <v>933</v>
      </c>
      <c r="T56" s="201" t="s">
        <v>757</v>
      </c>
      <c r="U56" s="201" t="s">
        <v>940</v>
      </c>
      <c r="V56" s="200"/>
      <c r="W56" s="200"/>
      <c r="X56" s="201" t="s">
        <v>941</v>
      </c>
      <c r="Y56" s="200"/>
      <c r="Z56" s="200"/>
      <c r="AA56" s="203"/>
      <c r="AB56" s="203"/>
      <c r="AC56" s="201" t="s">
        <v>245</v>
      </c>
      <c r="AD56" s="201" t="s">
        <v>942</v>
      </c>
      <c r="AE56" s="201" t="s">
        <v>943</v>
      </c>
      <c r="AF56" s="200" t="s">
        <v>563</v>
      </c>
      <c r="AG56" s="201" t="s">
        <v>114</v>
      </c>
      <c r="AH56" s="201" t="s">
        <v>570</v>
      </c>
    </row>
    <row r="57" spans="1:34" ht="14.25" customHeight="1">
      <c r="A57" s="196">
        <v>322</v>
      </c>
      <c r="B57" s="197" t="s">
        <v>7</v>
      </c>
      <c r="C57" s="197" t="s">
        <v>944</v>
      </c>
      <c r="D57" s="197"/>
      <c r="E57" s="197" t="s">
        <v>572</v>
      </c>
      <c r="F57" s="198">
        <v>31535</v>
      </c>
      <c r="G57" s="197" t="s">
        <v>945</v>
      </c>
      <c r="H57" s="198">
        <v>42743</v>
      </c>
      <c r="I57" s="198">
        <v>42743</v>
      </c>
      <c r="J57" s="197" t="s">
        <v>242</v>
      </c>
      <c r="K57" s="196" t="s">
        <v>112</v>
      </c>
      <c r="L57" s="197" t="s">
        <v>122</v>
      </c>
      <c r="M57" s="197" t="s">
        <v>561</v>
      </c>
      <c r="N57" s="197" t="s">
        <v>591</v>
      </c>
      <c r="O57" s="197" t="s">
        <v>932</v>
      </c>
      <c r="P57" s="197" t="s">
        <v>563</v>
      </c>
      <c r="Q57" s="197" t="s">
        <v>295</v>
      </c>
      <c r="R57" s="196"/>
      <c r="S57" s="197" t="s">
        <v>933</v>
      </c>
      <c r="T57" s="197" t="s">
        <v>757</v>
      </c>
      <c r="U57" s="197" t="s">
        <v>946</v>
      </c>
      <c r="V57" s="196"/>
      <c r="W57" s="196"/>
      <c r="X57" s="197" t="s">
        <v>947</v>
      </c>
      <c r="Y57" s="196"/>
      <c r="Z57" s="196"/>
      <c r="AA57" s="199"/>
      <c r="AB57" s="199"/>
      <c r="AC57" s="197" t="s">
        <v>245</v>
      </c>
      <c r="AD57" s="197" t="s">
        <v>948</v>
      </c>
      <c r="AE57" s="197" t="s">
        <v>949</v>
      </c>
      <c r="AF57" s="196" t="s">
        <v>563</v>
      </c>
      <c r="AG57" s="197" t="s">
        <v>114</v>
      </c>
      <c r="AH57" s="197" t="s">
        <v>570</v>
      </c>
    </row>
    <row r="58" spans="1:34" ht="14.25" customHeight="1">
      <c r="A58" s="196">
        <v>324</v>
      </c>
      <c r="B58" s="197" t="s">
        <v>6</v>
      </c>
      <c r="C58" s="197" t="s">
        <v>950</v>
      </c>
      <c r="D58" s="197"/>
      <c r="E58" s="197" t="s">
        <v>572</v>
      </c>
      <c r="F58" s="198">
        <v>32381</v>
      </c>
      <c r="G58" s="197" t="s">
        <v>951</v>
      </c>
      <c r="H58" s="198">
        <v>42743</v>
      </c>
      <c r="I58" s="198">
        <v>42743</v>
      </c>
      <c r="J58" s="197" t="s">
        <v>242</v>
      </c>
      <c r="K58" s="196" t="s">
        <v>112</v>
      </c>
      <c r="L58" s="197" t="s">
        <v>122</v>
      </c>
      <c r="M58" s="197" t="s">
        <v>561</v>
      </c>
      <c r="N58" s="197" t="s">
        <v>591</v>
      </c>
      <c r="O58" s="197" t="s">
        <v>932</v>
      </c>
      <c r="P58" s="197" t="s">
        <v>563</v>
      </c>
      <c r="Q58" s="197" t="s">
        <v>121</v>
      </c>
      <c r="R58" s="196"/>
      <c r="S58" s="197" t="s">
        <v>933</v>
      </c>
      <c r="T58" s="197" t="s">
        <v>757</v>
      </c>
      <c r="U58" s="197" t="s">
        <v>952</v>
      </c>
      <c r="V58" s="196"/>
      <c r="W58" s="196"/>
      <c r="X58" s="197" t="s">
        <v>953</v>
      </c>
      <c r="Y58" s="196"/>
      <c r="Z58" s="196"/>
      <c r="AA58" s="199"/>
      <c r="AB58" s="199"/>
      <c r="AC58" s="197" t="s">
        <v>245</v>
      </c>
      <c r="AD58" s="197" t="s">
        <v>954</v>
      </c>
      <c r="AE58" s="197" t="s">
        <v>955</v>
      </c>
      <c r="AF58" s="196" t="s">
        <v>563</v>
      </c>
      <c r="AG58" s="197" t="s">
        <v>114</v>
      </c>
      <c r="AH58" s="197" t="s">
        <v>570</v>
      </c>
    </row>
    <row r="59" spans="1:34" ht="14.25" customHeight="1">
      <c r="A59" s="200">
        <v>327</v>
      </c>
      <c r="B59" s="201" t="s">
        <v>6</v>
      </c>
      <c r="C59" s="201" t="s">
        <v>956</v>
      </c>
      <c r="D59" s="201"/>
      <c r="E59" s="201" t="s">
        <v>572</v>
      </c>
      <c r="F59" s="202">
        <v>31846</v>
      </c>
      <c r="G59" s="201" t="s">
        <v>957</v>
      </c>
      <c r="H59" s="202">
        <v>42984</v>
      </c>
      <c r="I59" s="202">
        <v>42984</v>
      </c>
      <c r="J59" s="201" t="s">
        <v>242</v>
      </c>
      <c r="K59" s="200" t="s">
        <v>112</v>
      </c>
      <c r="L59" s="201" t="s">
        <v>126</v>
      </c>
      <c r="M59" s="201" t="s">
        <v>561</v>
      </c>
      <c r="N59" s="201" t="s">
        <v>591</v>
      </c>
      <c r="O59" s="201" t="s">
        <v>126</v>
      </c>
      <c r="P59" s="201" t="s">
        <v>563</v>
      </c>
      <c r="Q59" s="201" t="s">
        <v>295</v>
      </c>
      <c r="R59" s="200"/>
      <c r="S59" s="201" t="s">
        <v>958</v>
      </c>
      <c r="T59" s="201" t="s">
        <v>757</v>
      </c>
      <c r="U59" s="201" t="s">
        <v>959</v>
      </c>
      <c r="V59" s="200"/>
      <c r="W59" s="200"/>
      <c r="X59" s="201" t="s">
        <v>960</v>
      </c>
      <c r="Y59" s="200"/>
      <c r="Z59" s="200"/>
      <c r="AA59" s="203"/>
      <c r="AB59" s="203"/>
      <c r="AC59" s="201" t="s">
        <v>245</v>
      </c>
      <c r="AD59" s="201" t="s">
        <v>961</v>
      </c>
      <c r="AE59" s="201" t="s">
        <v>962</v>
      </c>
      <c r="AF59" s="200" t="s">
        <v>563</v>
      </c>
      <c r="AG59" s="201" t="s">
        <v>114</v>
      </c>
      <c r="AH59" s="201" t="s">
        <v>570</v>
      </c>
    </row>
    <row r="60" spans="1:34" ht="14.25" customHeight="1">
      <c r="A60" s="196">
        <v>328</v>
      </c>
      <c r="B60" s="197" t="s">
        <v>4</v>
      </c>
      <c r="C60" s="197" t="s">
        <v>963</v>
      </c>
      <c r="D60" s="197"/>
      <c r="E60" s="197" t="s">
        <v>572</v>
      </c>
      <c r="F60" s="198">
        <v>32143</v>
      </c>
      <c r="G60" s="197" t="s">
        <v>964</v>
      </c>
      <c r="H60" s="198">
        <v>42988</v>
      </c>
      <c r="I60" s="198">
        <v>42988</v>
      </c>
      <c r="J60" s="197" t="s">
        <v>242</v>
      </c>
      <c r="K60" s="196" t="s">
        <v>112</v>
      </c>
      <c r="L60" s="197" t="s">
        <v>126</v>
      </c>
      <c r="M60" s="197" t="s">
        <v>561</v>
      </c>
      <c r="N60" s="197" t="s">
        <v>591</v>
      </c>
      <c r="O60" s="197" t="s">
        <v>126</v>
      </c>
      <c r="P60" s="197" t="s">
        <v>563</v>
      </c>
      <c r="Q60" s="197" t="s">
        <v>295</v>
      </c>
      <c r="R60" s="196"/>
      <c r="S60" s="197" t="s">
        <v>756</v>
      </c>
      <c r="T60" s="197" t="s">
        <v>757</v>
      </c>
      <c r="U60" s="197" t="s">
        <v>965</v>
      </c>
      <c r="V60" s="196"/>
      <c r="W60" s="196"/>
      <c r="X60" s="197" t="s">
        <v>966</v>
      </c>
      <c r="Y60" s="196"/>
      <c r="Z60" s="196"/>
      <c r="AA60" s="199"/>
      <c r="AB60" s="199"/>
      <c r="AC60" s="197" t="s">
        <v>245</v>
      </c>
      <c r="AD60" s="197" t="s">
        <v>967</v>
      </c>
      <c r="AE60" s="197" t="s">
        <v>968</v>
      </c>
      <c r="AF60" s="196" t="s">
        <v>563</v>
      </c>
      <c r="AG60" s="197" t="s">
        <v>114</v>
      </c>
      <c r="AH60" s="197" t="s">
        <v>570</v>
      </c>
    </row>
    <row r="61" spans="1:34" ht="14.25" customHeight="1">
      <c r="A61" s="200">
        <v>329</v>
      </c>
      <c r="B61" s="201" t="s">
        <v>149</v>
      </c>
      <c r="C61" s="201" t="s">
        <v>969</v>
      </c>
      <c r="D61" s="201"/>
      <c r="E61" s="201" t="s">
        <v>572</v>
      </c>
      <c r="F61" s="202">
        <v>33581</v>
      </c>
      <c r="G61" s="201" t="s">
        <v>970</v>
      </c>
      <c r="H61" s="202">
        <v>43046</v>
      </c>
      <c r="I61" s="202">
        <v>43046</v>
      </c>
      <c r="J61" s="201" t="s">
        <v>242</v>
      </c>
      <c r="K61" s="200" t="s">
        <v>112</v>
      </c>
      <c r="L61" s="201" t="s">
        <v>120</v>
      </c>
      <c r="M61" s="201" t="s">
        <v>971</v>
      </c>
      <c r="N61" s="201" t="s">
        <v>591</v>
      </c>
      <c r="O61" s="201" t="s">
        <v>120</v>
      </c>
      <c r="P61" s="201" t="s">
        <v>563</v>
      </c>
      <c r="Q61" s="201" t="s">
        <v>295</v>
      </c>
      <c r="R61" s="200"/>
      <c r="S61" s="201" t="s">
        <v>972</v>
      </c>
      <c r="T61" s="201" t="s">
        <v>757</v>
      </c>
      <c r="U61" s="201" t="s">
        <v>973</v>
      </c>
      <c r="V61" s="200"/>
      <c r="W61" s="200"/>
      <c r="X61" s="201" t="s">
        <v>974</v>
      </c>
      <c r="Y61" s="200"/>
      <c r="Z61" s="200"/>
      <c r="AA61" s="203"/>
      <c r="AB61" s="203"/>
      <c r="AC61" s="201" t="s">
        <v>245</v>
      </c>
      <c r="AD61" s="201" t="s">
        <v>975</v>
      </c>
      <c r="AE61" s="201" t="s">
        <v>976</v>
      </c>
      <c r="AF61" s="200" t="s">
        <v>563</v>
      </c>
      <c r="AG61" s="201" t="s">
        <v>114</v>
      </c>
      <c r="AH61" s="201" t="s">
        <v>570</v>
      </c>
    </row>
    <row r="62" spans="1:34" ht="14.25" customHeight="1">
      <c r="A62" s="200">
        <v>333</v>
      </c>
      <c r="B62" s="201" t="s">
        <v>4</v>
      </c>
      <c r="C62" s="201" t="s">
        <v>977</v>
      </c>
      <c r="D62" s="201"/>
      <c r="E62" s="201" t="s">
        <v>572</v>
      </c>
      <c r="F62" s="202">
        <v>22809</v>
      </c>
      <c r="G62" s="201" t="s">
        <v>978</v>
      </c>
      <c r="H62" s="202">
        <v>43016</v>
      </c>
      <c r="I62" s="202">
        <v>43016</v>
      </c>
      <c r="J62" s="201" t="s">
        <v>242</v>
      </c>
      <c r="K62" s="200" t="s">
        <v>112</v>
      </c>
      <c r="L62" s="201" t="s">
        <v>120</v>
      </c>
      <c r="M62" s="201" t="s">
        <v>971</v>
      </c>
      <c r="N62" s="201" t="s">
        <v>591</v>
      </c>
      <c r="O62" s="201" t="s">
        <v>120</v>
      </c>
      <c r="P62" s="201" t="s">
        <v>563</v>
      </c>
      <c r="Q62" s="201" t="s">
        <v>295</v>
      </c>
      <c r="R62" s="200"/>
      <c r="S62" s="201" t="s">
        <v>979</v>
      </c>
      <c r="T62" s="201" t="s">
        <v>757</v>
      </c>
      <c r="U62" s="201" t="s">
        <v>980</v>
      </c>
      <c r="V62" s="201"/>
      <c r="W62" s="201"/>
      <c r="X62" s="201" t="s">
        <v>981</v>
      </c>
      <c r="Y62" s="200"/>
      <c r="Z62" s="200"/>
      <c r="AA62" s="203"/>
      <c r="AB62" s="203"/>
      <c r="AC62" s="201" t="s">
        <v>245</v>
      </c>
      <c r="AD62" s="201" t="s">
        <v>982</v>
      </c>
      <c r="AE62" s="201" t="s">
        <v>983</v>
      </c>
      <c r="AF62" s="200" t="s">
        <v>563</v>
      </c>
      <c r="AG62" s="201" t="s">
        <v>114</v>
      </c>
      <c r="AH62" s="201" t="s">
        <v>570</v>
      </c>
    </row>
    <row r="63" spans="1:34" ht="14.25" customHeight="1">
      <c r="A63" s="200">
        <v>339</v>
      </c>
      <c r="B63" s="201" t="s">
        <v>6</v>
      </c>
      <c r="C63" s="201" t="s">
        <v>984</v>
      </c>
      <c r="D63" s="201"/>
      <c r="E63" s="201" t="s">
        <v>572</v>
      </c>
      <c r="F63" s="202">
        <v>31233</v>
      </c>
      <c r="G63" s="201" t="s">
        <v>985</v>
      </c>
      <c r="H63" s="202">
        <v>43016</v>
      </c>
      <c r="I63" s="202">
        <v>43016</v>
      </c>
      <c r="J63" s="201" t="s">
        <v>242</v>
      </c>
      <c r="K63" s="200" t="s">
        <v>112</v>
      </c>
      <c r="L63" s="201" t="s">
        <v>120</v>
      </c>
      <c r="M63" s="201" t="s">
        <v>971</v>
      </c>
      <c r="N63" s="201" t="s">
        <v>591</v>
      </c>
      <c r="O63" s="201" t="s">
        <v>120</v>
      </c>
      <c r="P63" s="201" t="s">
        <v>563</v>
      </c>
      <c r="Q63" s="201" t="s">
        <v>295</v>
      </c>
      <c r="R63" s="200"/>
      <c r="S63" s="201" t="s">
        <v>979</v>
      </c>
      <c r="T63" s="201" t="s">
        <v>757</v>
      </c>
      <c r="U63" s="201" t="s">
        <v>986</v>
      </c>
      <c r="V63" s="201"/>
      <c r="W63" s="201"/>
      <c r="X63" s="201" t="s">
        <v>987</v>
      </c>
      <c r="Y63" s="200"/>
      <c r="Z63" s="200"/>
      <c r="AA63" s="203"/>
      <c r="AB63" s="203"/>
      <c r="AC63" s="201" t="s">
        <v>245</v>
      </c>
      <c r="AD63" s="201" t="s">
        <v>988</v>
      </c>
      <c r="AE63" s="201" t="s">
        <v>989</v>
      </c>
      <c r="AF63" s="200" t="s">
        <v>563</v>
      </c>
      <c r="AG63" s="201" t="s">
        <v>114</v>
      </c>
      <c r="AH63" s="201" t="s">
        <v>570</v>
      </c>
    </row>
    <row r="64" spans="1:34" ht="14.25" customHeight="1">
      <c r="A64" s="200">
        <v>341</v>
      </c>
      <c r="B64" s="201" t="s">
        <v>6</v>
      </c>
      <c r="C64" s="201" t="s">
        <v>990</v>
      </c>
      <c r="D64" s="201"/>
      <c r="E64" s="201" t="s">
        <v>572</v>
      </c>
      <c r="F64" s="202">
        <v>25799</v>
      </c>
      <c r="G64" s="201" t="s">
        <v>991</v>
      </c>
      <c r="H64" s="202">
        <v>43016</v>
      </c>
      <c r="I64" s="202">
        <v>43016</v>
      </c>
      <c r="J64" s="201" t="s">
        <v>242</v>
      </c>
      <c r="K64" s="200" t="s">
        <v>112</v>
      </c>
      <c r="L64" s="201" t="s">
        <v>120</v>
      </c>
      <c r="M64" s="201" t="s">
        <v>971</v>
      </c>
      <c r="N64" s="201" t="s">
        <v>591</v>
      </c>
      <c r="O64" s="201" t="s">
        <v>120</v>
      </c>
      <c r="P64" s="201" t="s">
        <v>563</v>
      </c>
      <c r="Q64" s="201" t="s">
        <v>295</v>
      </c>
      <c r="R64" s="200"/>
      <c r="S64" s="201" t="s">
        <v>979</v>
      </c>
      <c r="T64" s="201" t="s">
        <v>757</v>
      </c>
      <c r="U64" s="201" t="s">
        <v>992</v>
      </c>
      <c r="V64" s="201"/>
      <c r="W64" s="201"/>
      <c r="X64" s="201" t="s">
        <v>993</v>
      </c>
      <c r="Y64" s="200"/>
      <c r="Z64" s="200"/>
      <c r="AA64" s="203"/>
      <c r="AB64" s="203"/>
      <c r="AC64" s="201" t="s">
        <v>245</v>
      </c>
      <c r="AD64" s="201" t="s">
        <v>994</v>
      </c>
      <c r="AE64" s="201" t="s">
        <v>995</v>
      </c>
      <c r="AF64" s="200" t="s">
        <v>563</v>
      </c>
      <c r="AG64" s="201" t="s">
        <v>114</v>
      </c>
      <c r="AH64" s="201" t="s">
        <v>570</v>
      </c>
    </row>
    <row r="65" spans="1:34" ht="14.25" customHeight="1">
      <c r="A65" s="196">
        <v>344</v>
      </c>
      <c r="B65" s="197" t="s">
        <v>186</v>
      </c>
      <c r="C65" s="197" t="s">
        <v>996</v>
      </c>
      <c r="D65" s="197"/>
      <c r="E65" s="197" t="s">
        <v>572</v>
      </c>
      <c r="F65" s="198">
        <v>33386</v>
      </c>
      <c r="G65" s="197" t="s">
        <v>997</v>
      </c>
      <c r="H65" s="198">
        <v>43016</v>
      </c>
      <c r="I65" s="198">
        <v>43016</v>
      </c>
      <c r="J65" s="197" t="s">
        <v>242</v>
      </c>
      <c r="K65" s="196" t="s">
        <v>112</v>
      </c>
      <c r="L65" s="197" t="s">
        <v>120</v>
      </c>
      <c r="M65" s="197" t="s">
        <v>971</v>
      </c>
      <c r="N65" s="197" t="s">
        <v>591</v>
      </c>
      <c r="O65" s="197" t="s">
        <v>120</v>
      </c>
      <c r="P65" s="197" t="s">
        <v>563</v>
      </c>
      <c r="Q65" s="197" t="s">
        <v>295</v>
      </c>
      <c r="R65" s="196"/>
      <c r="S65" s="197" t="s">
        <v>979</v>
      </c>
      <c r="T65" s="197" t="s">
        <v>757</v>
      </c>
      <c r="U65" s="197" t="s">
        <v>998</v>
      </c>
      <c r="V65" s="197"/>
      <c r="W65" s="197"/>
      <c r="X65" s="197" t="s">
        <v>999</v>
      </c>
      <c r="Y65" s="196"/>
      <c r="Z65" s="196"/>
      <c r="AA65" s="199"/>
      <c r="AB65" s="199"/>
      <c r="AC65" s="197" t="s">
        <v>245</v>
      </c>
      <c r="AD65" s="197" t="s">
        <v>1000</v>
      </c>
      <c r="AE65" s="197" t="s">
        <v>1001</v>
      </c>
      <c r="AF65" s="196" t="s">
        <v>563</v>
      </c>
      <c r="AG65" s="197" t="s">
        <v>114</v>
      </c>
      <c r="AH65" s="197" t="s">
        <v>570</v>
      </c>
    </row>
    <row r="66" spans="1:34" ht="14.25" customHeight="1">
      <c r="A66" s="200">
        <v>345</v>
      </c>
      <c r="B66" s="201" t="s">
        <v>7</v>
      </c>
      <c r="C66" s="201" t="s">
        <v>1002</v>
      </c>
      <c r="D66" s="201"/>
      <c r="E66" s="201" t="s">
        <v>572</v>
      </c>
      <c r="F66" s="202">
        <v>29883</v>
      </c>
      <c r="G66" s="201" t="s">
        <v>1003</v>
      </c>
      <c r="H66" s="202">
        <v>43016</v>
      </c>
      <c r="I66" s="202">
        <v>43016</v>
      </c>
      <c r="J66" s="201" t="s">
        <v>242</v>
      </c>
      <c r="K66" s="200" t="s">
        <v>112</v>
      </c>
      <c r="L66" s="201" t="s">
        <v>120</v>
      </c>
      <c r="M66" s="201" t="s">
        <v>561</v>
      </c>
      <c r="N66" s="201" t="s">
        <v>591</v>
      </c>
      <c r="O66" s="201" t="s">
        <v>120</v>
      </c>
      <c r="P66" s="201" t="s">
        <v>563</v>
      </c>
      <c r="Q66" s="201" t="s">
        <v>295</v>
      </c>
      <c r="R66" s="200"/>
      <c r="S66" s="201" t="s">
        <v>979</v>
      </c>
      <c r="T66" s="201" t="s">
        <v>757</v>
      </c>
      <c r="U66" s="201" t="s">
        <v>1004</v>
      </c>
      <c r="V66" s="201"/>
      <c r="W66" s="201"/>
      <c r="X66" s="201" t="s">
        <v>1005</v>
      </c>
      <c r="Y66" s="200"/>
      <c r="Z66" s="200"/>
      <c r="AA66" s="203"/>
      <c r="AB66" s="203"/>
      <c r="AC66" s="201" t="s">
        <v>245</v>
      </c>
      <c r="AD66" s="201" t="s">
        <v>1006</v>
      </c>
      <c r="AE66" s="201" t="s">
        <v>1007</v>
      </c>
      <c r="AF66" s="200" t="s">
        <v>563</v>
      </c>
      <c r="AG66" s="201" t="s">
        <v>114</v>
      </c>
      <c r="AH66" s="201" t="s">
        <v>570</v>
      </c>
    </row>
    <row r="67" spans="1:34" ht="14.25" customHeight="1">
      <c r="A67" s="200">
        <v>347</v>
      </c>
      <c r="B67" s="201" t="s">
        <v>4</v>
      </c>
      <c r="C67" s="201" t="s">
        <v>1008</v>
      </c>
      <c r="D67" s="201"/>
      <c r="E67" s="201" t="s">
        <v>572</v>
      </c>
      <c r="F67" s="202">
        <v>33156</v>
      </c>
      <c r="G67" s="201" t="s">
        <v>1009</v>
      </c>
      <c r="H67" s="202">
        <v>43016</v>
      </c>
      <c r="I67" s="202">
        <v>43016</v>
      </c>
      <c r="J67" s="201" t="s">
        <v>242</v>
      </c>
      <c r="K67" s="200" t="s">
        <v>112</v>
      </c>
      <c r="L67" s="201" t="s">
        <v>120</v>
      </c>
      <c r="M67" s="201" t="s">
        <v>971</v>
      </c>
      <c r="N67" s="201" t="s">
        <v>591</v>
      </c>
      <c r="O67" s="201" t="s">
        <v>120</v>
      </c>
      <c r="P67" s="201" t="s">
        <v>563</v>
      </c>
      <c r="Q67" s="201" t="s">
        <v>295</v>
      </c>
      <c r="R67" s="200"/>
      <c r="S67" s="201" t="s">
        <v>979</v>
      </c>
      <c r="T67" s="201" t="s">
        <v>757</v>
      </c>
      <c r="U67" s="201" t="s">
        <v>1010</v>
      </c>
      <c r="V67" s="201"/>
      <c r="W67" s="201"/>
      <c r="X67" s="201" t="s">
        <v>1011</v>
      </c>
      <c r="Y67" s="200"/>
      <c r="Z67" s="200"/>
      <c r="AA67" s="203"/>
      <c r="AB67" s="203"/>
      <c r="AC67" s="201" t="s">
        <v>245</v>
      </c>
      <c r="AD67" s="201" t="s">
        <v>1012</v>
      </c>
      <c r="AE67" s="201" t="s">
        <v>1013</v>
      </c>
      <c r="AF67" s="200" t="s">
        <v>563</v>
      </c>
      <c r="AG67" s="201" t="s">
        <v>114</v>
      </c>
      <c r="AH67" s="201" t="s">
        <v>570</v>
      </c>
    </row>
    <row r="68" spans="1:34" ht="14.25" customHeight="1">
      <c r="A68" s="200">
        <v>1794</v>
      </c>
      <c r="B68" s="201" t="s">
        <v>7</v>
      </c>
      <c r="C68" s="201" t="s">
        <v>1014</v>
      </c>
      <c r="D68" s="201"/>
      <c r="E68" s="201" t="s">
        <v>1015</v>
      </c>
      <c r="F68" s="202">
        <v>31757</v>
      </c>
      <c r="G68" s="201" t="s">
        <v>1016</v>
      </c>
      <c r="H68" s="202">
        <v>44066</v>
      </c>
      <c r="I68" s="202">
        <v>44066</v>
      </c>
      <c r="J68" s="201" t="s">
        <v>258</v>
      </c>
      <c r="K68" s="200" t="s">
        <v>112</v>
      </c>
      <c r="L68" s="201" t="s">
        <v>113</v>
      </c>
      <c r="M68" s="201" t="s">
        <v>561</v>
      </c>
      <c r="N68" s="201" t="s">
        <v>591</v>
      </c>
      <c r="O68" s="201" t="s">
        <v>113</v>
      </c>
      <c r="P68" s="201" t="s">
        <v>563</v>
      </c>
      <c r="Q68" s="201" t="s">
        <v>137</v>
      </c>
      <c r="R68" s="200"/>
      <c r="S68" s="201" t="s">
        <v>1017</v>
      </c>
      <c r="T68" s="201" t="s">
        <v>796</v>
      </c>
      <c r="U68" s="201" t="s">
        <v>1018</v>
      </c>
      <c r="V68" s="201"/>
      <c r="W68" s="201"/>
      <c r="X68" s="201" t="s">
        <v>1019</v>
      </c>
      <c r="Y68" s="200"/>
      <c r="Z68" s="200"/>
      <c r="AA68" s="203"/>
      <c r="AB68" s="203"/>
      <c r="AC68" s="201" t="s">
        <v>245</v>
      </c>
      <c r="AD68" s="201" t="s">
        <v>1020</v>
      </c>
      <c r="AE68" s="201" t="s">
        <v>1021</v>
      </c>
      <c r="AF68" s="200" t="s">
        <v>563</v>
      </c>
      <c r="AG68" s="201" t="s">
        <v>114</v>
      </c>
      <c r="AH68" s="201" t="s">
        <v>570</v>
      </c>
    </row>
    <row r="69" spans="1:34" ht="14.25" customHeight="1">
      <c r="A69" s="200">
        <v>2461</v>
      </c>
      <c r="B69" s="201" t="s">
        <v>4</v>
      </c>
      <c r="C69" s="201" t="s">
        <v>1022</v>
      </c>
      <c r="D69" s="201"/>
      <c r="E69" s="201" t="s">
        <v>151</v>
      </c>
      <c r="F69" s="202">
        <v>35557</v>
      </c>
      <c r="G69" s="201" t="s">
        <v>1023</v>
      </c>
      <c r="H69" s="202">
        <v>44796</v>
      </c>
      <c r="I69" s="202">
        <v>44796</v>
      </c>
      <c r="J69" s="201" t="s">
        <v>258</v>
      </c>
      <c r="K69" s="200" t="s">
        <v>112</v>
      </c>
      <c r="L69" s="201" t="s">
        <v>113</v>
      </c>
      <c r="M69" s="201" t="s">
        <v>561</v>
      </c>
      <c r="N69" s="201" t="s">
        <v>562</v>
      </c>
      <c r="O69" s="201" t="s">
        <v>113</v>
      </c>
      <c r="P69" s="201" t="s">
        <v>563</v>
      </c>
      <c r="Q69" s="201" t="s">
        <v>52</v>
      </c>
      <c r="R69" s="200"/>
      <c r="S69" s="201" t="s">
        <v>1024</v>
      </c>
      <c r="T69" s="201" t="s">
        <v>649</v>
      </c>
      <c r="U69" s="201" t="s">
        <v>1025</v>
      </c>
      <c r="V69" s="201"/>
      <c r="W69" s="201"/>
      <c r="X69" s="201" t="s">
        <v>1026</v>
      </c>
      <c r="Y69" s="200"/>
      <c r="Z69" s="200"/>
      <c r="AA69" s="203"/>
      <c r="AB69" s="203"/>
      <c r="AC69" s="201" t="s">
        <v>245</v>
      </c>
      <c r="AD69" s="201" t="s">
        <v>1027</v>
      </c>
      <c r="AE69" s="201" t="s">
        <v>1028</v>
      </c>
      <c r="AF69" s="200" t="s">
        <v>563</v>
      </c>
      <c r="AG69" s="201" t="s">
        <v>114</v>
      </c>
      <c r="AH69" s="201" t="s">
        <v>570</v>
      </c>
    </row>
    <row r="70" spans="1:34" ht="14.25" customHeight="1">
      <c r="A70" s="196">
        <v>2548</v>
      </c>
      <c r="B70" s="197" t="s">
        <v>6</v>
      </c>
      <c r="C70" s="197" t="s">
        <v>498</v>
      </c>
      <c r="D70" s="197"/>
      <c r="E70" s="197" t="s">
        <v>151</v>
      </c>
      <c r="F70" s="198">
        <v>35228</v>
      </c>
      <c r="G70" s="197" t="s">
        <v>1029</v>
      </c>
      <c r="H70" s="198">
        <v>44801</v>
      </c>
      <c r="I70" s="198">
        <v>44801</v>
      </c>
      <c r="J70" s="197" t="s">
        <v>258</v>
      </c>
      <c r="K70" s="196" t="s">
        <v>112</v>
      </c>
      <c r="L70" s="197" t="s">
        <v>113</v>
      </c>
      <c r="M70" s="197" t="s">
        <v>561</v>
      </c>
      <c r="N70" s="197" t="s">
        <v>591</v>
      </c>
      <c r="O70" s="197" t="s">
        <v>113</v>
      </c>
      <c r="P70" s="197" t="s">
        <v>563</v>
      </c>
      <c r="Q70" s="197" t="s">
        <v>66</v>
      </c>
      <c r="R70" s="196"/>
      <c r="S70" s="197" t="s">
        <v>1030</v>
      </c>
      <c r="T70" s="197" t="s">
        <v>649</v>
      </c>
      <c r="U70" s="197" t="s">
        <v>1031</v>
      </c>
      <c r="V70" s="196"/>
      <c r="W70" s="196"/>
      <c r="X70" s="197" t="s">
        <v>499</v>
      </c>
      <c r="Y70" s="196"/>
      <c r="Z70" s="196"/>
      <c r="AA70" s="199"/>
      <c r="AB70" s="199"/>
      <c r="AC70" s="197" t="s">
        <v>245</v>
      </c>
      <c r="AD70" s="197" t="s">
        <v>1032</v>
      </c>
      <c r="AE70" s="197" t="s">
        <v>1033</v>
      </c>
      <c r="AF70" s="196" t="s">
        <v>563</v>
      </c>
      <c r="AG70" s="197" t="s">
        <v>114</v>
      </c>
      <c r="AH70" s="197" t="s">
        <v>570</v>
      </c>
    </row>
    <row r="71" spans="1:34" ht="14.25" customHeight="1">
      <c r="A71" s="196">
        <v>2580</v>
      </c>
      <c r="B71" s="197" t="s">
        <v>149</v>
      </c>
      <c r="C71" s="197" t="s">
        <v>1034</v>
      </c>
      <c r="D71" s="197"/>
      <c r="E71" s="196"/>
      <c r="F71" s="198">
        <v>33738</v>
      </c>
      <c r="G71" s="197" t="s">
        <v>1035</v>
      </c>
      <c r="H71" s="198">
        <v>44794</v>
      </c>
      <c r="I71" s="198">
        <v>44794</v>
      </c>
      <c r="J71" s="197" t="s">
        <v>258</v>
      </c>
      <c r="K71" s="196" t="s">
        <v>112</v>
      </c>
      <c r="L71" s="197" t="s">
        <v>113</v>
      </c>
      <c r="M71" s="197" t="s">
        <v>561</v>
      </c>
      <c r="N71" s="197" t="s">
        <v>562</v>
      </c>
      <c r="O71" s="197" t="s">
        <v>113</v>
      </c>
      <c r="P71" s="197" t="s">
        <v>563</v>
      </c>
      <c r="Q71" s="197" t="s">
        <v>214</v>
      </c>
      <c r="R71" s="196"/>
      <c r="S71" s="197" t="s">
        <v>1036</v>
      </c>
      <c r="T71" s="197" t="s">
        <v>649</v>
      </c>
      <c r="U71" s="197" t="s">
        <v>1037</v>
      </c>
      <c r="V71" s="196"/>
      <c r="W71" s="196"/>
      <c r="X71" s="197" t="s">
        <v>1038</v>
      </c>
      <c r="Y71" s="196"/>
      <c r="Z71" s="196"/>
      <c r="AA71" s="199"/>
      <c r="AB71" s="199"/>
      <c r="AC71" s="197" t="s">
        <v>245</v>
      </c>
      <c r="AD71" s="197" t="s">
        <v>1039</v>
      </c>
      <c r="AE71" s="197" t="s">
        <v>1040</v>
      </c>
      <c r="AF71" s="196" t="s">
        <v>563</v>
      </c>
      <c r="AG71" s="197" t="s">
        <v>114</v>
      </c>
      <c r="AH71" s="197" t="s">
        <v>570</v>
      </c>
    </row>
    <row r="72" spans="1:34" ht="14.25" customHeight="1">
      <c r="A72" s="196">
        <v>2608</v>
      </c>
      <c r="B72" s="197" t="s">
        <v>4</v>
      </c>
      <c r="C72" s="197" t="s">
        <v>1041</v>
      </c>
      <c r="D72" s="197"/>
      <c r="E72" s="197" t="s">
        <v>151</v>
      </c>
      <c r="F72" s="198">
        <v>36250</v>
      </c>
      <c r="G72" s="197" t="s">
        <v>1042</v>
      </c>
      <c r="H72" s="198">
        <v>44817</v>
      </c>
      <c r="I72" s="198">
        <v>44817</v>
      </c>
      <c r="J72" s="197" t="s">
        <v>258</v>
      </c>
      <c r="K72" s="196" t="s">
        <v>112</v>
      </c>
      <c r="L72" s="197" t="s">
        <v>113</v>
      </c>
      <c r="M72" s="197" t="s">
        <v>561</v>
      </c>
      <c r="N72" s="197" t="s">
        <v>591</v>
      </c>
      <c r="O72" s="197" t="s">
        <v>113</v>
      </c>
      <c r="P72" s="197" t="s">
        <v>563</v>
      </c>
      <c r="Q72" s="197" t="s">
        <v>66</v>
      </c>
      <c r="R72" s="196"/>
      <c r="S72" s="197" t="s">
        <v>1043</v>
      </c>
      <c r="T72" s="197" t="s">
        <v>649</v>
      </c>
      <c r="U72" s="197" t="s">
        <v>1044</v>
      </c>
      <c r="V72" s="196"/>
      <c r="W72" s="196"/>
      <c r="X72" s="197" t="s">
        <v>1045</v>
      </c>
      <c r="Y72" s="196"/>
      <c r="Z72" s="196"/>
      <c r="AA72" s="199"/>
      <c r="AB72" s="199"/>
      <c r="AC72" s="197" t="s">
        <v>245</v>
      </c>
      <c r="AD72" s="197" t="s">
        <v>1046</v>
      </c>
      <c r="AE72" s="197" t="s">
        <v>1047</v>
      </c>
      <c r="AF72" s="196" t="s">
        <v>563</v>
      </c>
      <c r="AG72" s="197" t="s">
        <v>114</v>
      </c>
      <c r="AH72" s="197" t="s">
        <v>570</v>
      </c>
    </row>
    <row r="73" spans="1:34" ht="14.25" customHeight="1">
      <c r="A73" s="200">
        <v>2625</v>
      </c>
      <c r="B73" s="201" t="s">
        <v>7</v>
      </c>
      <c r="C73" s="201" t="s">
        <v>1048</v>
      </c>
      <c r="D73" s="201"/>
      <c r="E73" s="201" t="s">
        <v>151</v>
      </c>
      <c r="F73" s="202">
        <v>35412</v>
      </c>
      <c r="G73" s="201" t="s">
        <v>1049</v>
      </c>
      <c r="H73" s="202">
        <v>44829</v>
      </c>
      <c r="I73" s="202">
        <v>44829</v>
      </c>
      <c r="J73" s="201" t="s">
        <v>258</v>
      </c>
      <c r="K73" s="200" t="s">
        <v>112</v>
      </c>
      <c r="L73" s="201" t="s">
        <v>113</v>
      </c>
      <c r="M73" s="201" t="s">
        <v>561</v>
      </c>
      <c r="N73" s="201" t="s">
        <v>591</v>
      </c>
      <c r="O73" s="201" t="s">
        <v>113</v>
      </c>
      <c r="P73" s="201" t="s">
        <v>563</v>
      </c>
      <c r="Q73" s="201" t="s">
        <v>52</v>
      </c>
      <c r="R73" s="200"/>
      <c r="S73" s="201" t="s">
        <v>1050</v>
      </c>
      <c r="T73" s="201" t="s">
        <v>649</v>
      </c>
      <c r="U73" s="201" t="s">
        <v>1051</v>
      </c>
      <c r="V73" s="200"/>
      <c r="W73" s="200"/>
      <c r="X73" s="201" t="s">
        <v>1052</v>
      </c>
      <c r="Y73" s="200"/>
      <c r="Z73" s="200"/>
      <c r="AA73" s="203"/>
      <c r="AB73" s="203"/>
      <c r="AC73" s="201" t="s">
        <v>245</v>
      </c>
      <c r="AD73" s="201" t="s">
        <v>1053</v>
      </c>
      <c r="AE73" s="201" t="s">
        <v>1054</v>
      </c>
      <c r="AF73" s="200" t="s">
        <v>563</v>
      </c>
      <c r="AG73" s="201" t="s">
        <v>114</v>
      </c>
      <c r="AH73" s="201" t="s">
        <v>570</v>
      </c>
    </row>
    <row r="74" spans="1:34" ht="14.25" customHeight="1">
      <c r="A74" s="196">
        <v>2738</v>
      </c>
      <c r="B74" s="197" t="s">
        <v>4</v>
      </c>
      <c r="C74" s="197" t="s">
        <v>1055</v>
      </c>
      <c r="D74" s="197"/>
      <c r="E74" s="197" t="s">
        <v>151</v>
      </c>
      <c r="F74" s="198">
        <v>34485</v>
      </c>
      <c r="G74" s="197" t="s">
        <v>1056</v>
      </c>
      <c r="H74" s="198">
        <v>44857</v>
      </c>
      <c r="I74" s="198">
        <v>44857</v>
      </c>
      <c r="J74" s="197" t="s">
        <v>258</v>
      </c>
      <c r="K74" s="196" t="s">
        <v>112</v>
      </c>
      <c r="L74" s="197" t="s">
        <v>113</v>
      </c>
      <c r="M74" s="197" t="s">
        <v>561</v>
      </c>
      <c r="N74" s="196"/>
      <c r="O74" s="196"/>
      <c r="P74" s="197" t="s">
        <v>563</v>
      </c>
      <c r="Q74" s="197" t="s">
        <v>66</v>
      </c>
      <c r="R74" s="196"/>
      <c r="S74" s="197" t="s">
        <v>1057</v>
      </c>
      <c r="T74" s="197" t="s">
        <v>649</v>
      </c>
      <c r="U74" s="197" t="s">
        <v>1058</v>
      </c>
      <c r="V74" s="197"/>
      <c r="W74" s="197"/>
      <c r="X74" s="197" t="s">
        <v>1059</v>
      </c>
      <c r="Y74" s="196"/>
      <c r="Z74" s="196"/>
      <c r="AA74" s="199"/>
      <c r="AB74" s="199"/>
      <c r="AC74" s="197" t="s">
        <v>245</v>
      </c>
      <c r="AD74" s="197" t="s">
        <v>1060</v>
      </c>
      <c r="AE74" s="197" t="s">
        <v>1061</v>
      </c>
      <c r="AF74" s="196" t="s">
        <v>563</v>
      </c>
      <c r="AG74" s="197" t="s">
        <v>114</v>
      </c>
      <c r="AH74" s="197" t="s">
        <v>570</v>
      </c>
    </row>
    <row r="75" spans="1:34" ht="14.25" customHeight="1">
      <c r="A75" s="200">
        <v>2832</v>
      </c>
      <c r="B75" s="201" t="s">
        <v>7</v>
      </c>
      <c r="C75" s="201" t="s">
        <v>1062</v>
      </c>
      <c r="D75" s="201"/>
      <c r="E75" s="201" t="s">
        <v>151</v>
      </c>
      <c r="F75" s="202">
        <v>36543</v>
      </c>
      <c r="G75" s="201" t="s">
        <v>1063</v>
      </c>
      <c r="H75" s="202">
        <v>45048</v>
      </c>
      <c r="I75" s="202">
        <v>45048</v>
      </c>
      <c r="J75" s="201" t="s">
        <v>258</v>
      </c>
      <c r="K75" s="200" t="s">
        <v>112</v>
      </c>
      <c r="L75" s="201" t="s">
        <v>113</v>
      </c>
      <c r="M75" s="201" t="s">
        <v>561</v>
      </c>
      <c r="N75" s="200"/>
      <c r="O75" s="200"/>
      <c r="P75" s="201" t="s">
        <v>563</v>
      </c>
      <c r="Q75" s="201" t="s">
        <v>66</v>
      </c>
      <c r="R75" s="200"/>
      <c r="S75" s="201" t="s">
        <v>1064</v>
      </c>
      <c r="T75" s="201" t="s">
        <v>1065</v>
      </c>
      <c r="U75" s="201" t="s">
        <v>1066</v>
      </c>
      <c r="V75" s="201"/>
      <c r="W75" s="201"/>
      <c r="X75" s="201" t="s">
        <v>1067</v>
      </c>
      <c r="Y75" s="200"/>
      <c r="Z75" s="200"/>
      <c r="AA75" s="203"/>
      <c r="AB75" s="203"/>
      <c r="AC75" s="201" t="s">
        <v>245</v>
      </c>
      <c r="AD75" s="201" t="s">
        <v>1068</v>
      </c>
      <c r="AE75" s="201" t="s">
        <v>1069</v>
      </c>
      <c r="AF75" s="200" t="s">
        <v>563</v>
      </c>
      <c r="AG75" s="201" t="s">
        <v>114</v>
      </c>
      <c r="AH75" s="201" t="s">
        <v>570</v>
      </c>
    </row>
    <row r="76" spans="1:34" ht="14.25" customHeight="1">
      <c r="A76" s="200">
        <v>2862</v>
      </c>
      <c r="B76" s="201" t="s">
        <v>7</v>
      </c>
      <c r="C76" s="201" t="s">
        <v>415</v>
      </c>
      <c r="D76" s="201"/>
      <c r="E76" s="201" t="s">
        <v>151</v>
      </c>
      <c r="F76" s="202">
        <v>34788</v>
      </c>
      <c r="G76" s="201" t="s">
        <v>1070</v>
      </c>
      <c r="H76" s="202">
        <v>44927</v>
      </c>
      <c r="I76" s="202">
        <v>44927</v>
      </c>
      <c r="J76" s="201" t="s">
        <v>258</v>
      </c>
      <c r="K76" s="200" t="s">
        <v>112</v>
      </c>
      <c r="L76" s="201" t="s">
        <v>113</v>
      </c>
      <c r="M76" s="201" t="s">
        <v>561</v>
      </c>
      <c r="N76" s="200"/>
      <c r="O76" s="200"/>
      <c r="P76" s="201" t="s">
        <v>563</v>
      </c>
      <c r="Q76" s="201" t="s">
        <v>66</v>
      </c>
      <c r="R76" s="200"/>
      <c r="S76" s="201" t="s">
        <v>1071</v>
      </c>
      <c r="T76" s="201" t="s">
        <v>1065</v>
      </c>
      <c r="U76" s="201" t="s">
        <v>1072</v>
      </c>
      <c r="V76" s="201"/>
      <c r="W76" s="201"/>
      <c r="X76" s="201" t="s">
        <v>1073</v>
      </c>
      <c r="Y76" s="200"/>
      <c r="Z76" s="200"/>
      <c r="AA76" s="203"/>
      <c r="AB76" s="203"/>
      <c r="AC76" s="201" t="s">
        <v>245</v>
      </c>
      <c r="AD76" s="201" t="s">
        <v>1074</v>
      </c>
      <c r="AE76" s="201" t="s">
        <v>1075</v>
      </c>
      <c r="AF76" s="200" t="s">
        <v>563</v>
      </c>
      <c r="AG76" s="201" t="s">
        <v>114</v>
      </c>
      <c r="AH76" s="201" t="s">
        <v>570</v>
      </c>
    </row>
    <row r="77" spans="1:34" ht="14.25" customHeight="1">
      <c r="A77" s="196">
        <v>2895</v>
      </c>
      <c r="B77" s="197" t="s">
        <v>149</v>
      </c>
      <c r="C77" s="197" t="s">
        <v>1076</v>
      </c>
      <c r="D77" s="197"/>
      <c r="E77" s="197" t="s">
        <v>1077</v>
      </c>
      <c r="F77" s="198">
        <v>36714</v>
      </c>
      <c r="G77" s="197" t="s">
        <v>1078</v>
      </c>
      <c r="H77" s="198">
        <v>44950</v>
      </c>
      <c r="I77" s="198">
        <v>44950</v>
      </c>
      <c r="J77" s="197" t="s">
        <v>258</v>
      </c>
      <c r="K77" s="196" t="s">
        <v>112</v>
      </c>
      <c r="L77" s="197" t="s">
        <v>113</v>
      </c>
      <c r="M77" s="197" t="s">
        <v>561</v>
      </c>
      <c r="N77" s="196"/>
      <c r="O77" s="196"/>
      <c r="P77" s="197" t="s">
        <v>563</v>
      </c>
      <c r="Q77" s="197" t="s">
        <v>377</v>
      </c>
      <c r="R77" s="196"/>
      <c r="S77" s="197" t="s">
        <v>1079</v>
      </c>
      <c r="T77" s="197" t="s">
        <v>1065</v>
      </c>
      <c r="U77" s="197" t="s">
        <v>1080</v>
      </c>
      <c r="V77" s="197"/>
      <c r="W77" s="197"/>
      <c r="X77" s="197" t="s">
        <v>1081</v>
      </c>
      <c r="Y77" s="196"/>
      <c r="Z77" s="196"/>
      <c r="AA77" s="199"/>
      <c r="AB77" s="199"/>
      <c r="AC77" s="197" t="s">
        <v>245</v>
      </c>
      <c r="AD77" s="197" t="s">
        <v>1082</v>
      </c>
      <c r="AE77" s="197" t="s">
        <v>1083</v>
      </c>
      <c r="AF77" s="196" t="s">
        <v>563</v>
      </c>
      <c r="AG77" s="197" t="s">
        <v>114</v>
      </c>
      <c r="AH77" s="197" t="s">
        <v>570</v>
      </c>
    </row>
    <row r="78" spans="1:34" ht="14.25" customHeight="1">
      <c r="A78" s="200">
        <v>3028</v>
      </c>
      <c r="B78" s="201" t="s">
        <v>7</v>
      </c>
      <c r="C78" s="201" t="s">
        <v>1084</v>
      </c>
      <c r="D78" s="201"/>
      <c r="E78" s="201" t="s">
        <v>572</v>
      </c>
      <c r="F78" s="202">
        <v>32786</v>
      </c>
      <c r="G78" s="201" t="s">
        <v>1085</v>
      </c>
      <c r="H78" s="202">
        <v>45139</v>
      </c>
      <c r="I78" s="202">
        <v>45139</v>
      </c>
      <c r="J78" s="201" t="s">
        <v>242</v>
      </c>
      <c r="K78" s="200" t="s">
        <v>112</v>
      </c>
      <c r="L78" s="201" t="s">
        <v>126</v>
      </c>
      <c r="M78" s="201" t="s">
        <v>561</v>
      </c>
      <c r="N78" s="201" t="s">
        <v>591</v>
      </c>
      <c r="O78" s="201" t="s">
        <v>126</v>
      </c>
      <c r="P78" s="201" t="s">
        <v>563</v>
      </c>
      <c r="Q78" s="201" t="s">
        <v>121</v>
      </c>
      <c r="R78" s="200"/>
      <c r="S78" s="201" t="s">
        <v>1086</v>
      </c>
      <c r="T78" s="201" t="s">
        <v>1065</v>
      </c>
      <c r="U78" s="201" t="s">
        <v>1087</v>
      </c>
      <c r="V78" s="201"/>
      <c r="W78" s="201"/>
      <c r="X78" s="201" t="s">
        <v>1088</v>
      </c>
      <c r="Y78" s="200"/>
      <c r="Z78" s="200"/>
      <c r="AA78" s="203"/>
      <c r="AB78" s="203"/>
      <c r="AC78" s="201" t="s">
        <v>245</v>
      </c>
      <c r="AD78" s="201" t="s">
        <v>1089</v>
      </c>
      <c r="AE78" s="201" t="s">
        <v>1090</v>
      </c>
      <c r="AF78" s="200" t="s">
        <v>563</v>
      </c>
      <c r="AG78" s="201" t="s">
        <v>114</v>
      </c>
      <c r="AH78" s="201" t="s">
        <v>570</v>
      </c>
    </row>
    <row r="79" spans="1:34" ht="14.25" customHeight="1">
      <c r="A79" s="200">
        <v>3060</v>
      </c>
      <c r="B79" s="201" t="s">
        <v>4</v>
      </c>
      <c r="C79" s="201" t="s">
        <v>1091</v>
      </c>
      <c r="D79" s="201"/>
      <c r="E79" s="201" t="s">
        <v>151</v>
      </c>
      <c r="F79" s="202">
        <v>30001</v>
      </c>
      <c r="G79" s="201" t="s">
        <v>1092</v>
      </c>
      <c r="H79" s="202">
        <v>45151</v>
      </c>
      <c r="I79" s="202">
        <v>45151</v>
      </c>
      <c r="J79" s="201" t="s">
        <v>258</v>
      </c>
      <c r="K79" s="200" t="s">
        <v>112</v>
      </c>
      <c r="L79" s="201" t="s">
        <v>113</v>
      </c>
      <c r="M79" s="201" t="s">
        <v>561</v>
      </c>
      <c r="N79" s="201" t="s">
        <v>562</v>
      </c>
      <c r="O79" s="200"/>
      <c r="P79" s="201" t="s">
        <v>563</v>
      </c>
      <c r="Q79" s="201" t="s">
        <v>66</v>
      </c>
      <c r="R79" s="200"/>
      <c r="S79" s="201" t="s">
        <v>1093</v>
      </c>
      <c r="T79" s="201" t="s">
        <v>1065</v>
      </c>
      <c r="U79" s="201" t="s">
        <v>1094</v>
      </c>
      <c r="V79" s="201"/>
      <c r="W79" s="201"/>
      <c r="X79" s="201" t="s">
        <v>1095</v>
      </c>
      <c r="Y79" s="200"/>
      <c r="Z79" s="200"/>
      <c r="AA79" s="203"/>
      <c r="AB79" s="203"/>
      <c r="AC79" s="201" t="s">
        <v>245</v>
      </c>
      <c r="AD79" s="201" t="s">
        <v>1096</v>
      </c>
      <c r="AE79" s="201" t="s">
        <v>1097</v>
      </c>
      <c r="AF79" s="200" t="s">
        <v>563</v>
      </c>
      <c r="AG79" s="201" t="s">
        <v>114</v>
      </c>
      <c r="AH79" s="201" t="s">
        <v>570</v>
      </c>
    </row>
    <row r="80" spans="1:34" ht="14.25" customHeight="1">
      <c r="A80" s="196">
        <v>3067</v>
      </c>
      <c r="B80" s="197" t="s">
        <v>4</v>
      </c>
      <c r="C80" s="197" t="s">
        <v>1098</v>
      </c>
      <c r="D80" s="197"/>
      <c r="E80" s="197" t="s">
        <v>151</v>
      </c>
      <c r="F80" s="198">
        <v>30934</v>
      </c>
      <c r="G80" s="197" t="s">
        <v>1099</v>
      </c>
      <c r="H80" s="198">
        <v>45152</v>
      </c>
      <c r="I80" s="198">
        <v>45152</v>
      </c>
      <c r="J80" s="197" t="s">
        <v>242</v>
      </c>
      <c r="K80" s="196" t="s">
        <v>112</v>
      </c>
      <c r="L80" s="197" t="s">
        <v>118</v>
      </c>
      <c r="M80" s="197" t="s">
        <v>561</v>
      </c>
      <c r="N80" s="197" t="s">
        <v>591</v>
      </c>
      <c r="O80" s="197" t="s">
        <v>118</v>
      </c>
      <c r="P80" s="197" t="s">
        <v>563</v>
      </c>
      <c r="Q80" s="197" t="s">
        <v>66</v>
      </c>
      <c r="R80" s="196"/>
      <c r="S80" s="197" t="s">
        <v>1100</v>
      </c>
      <c r="T80" s="197" t="s">
        <v>1065</v>
      </c>
      <c r="U80" s="197" t="s">
        <v>1101</v>
      </c>
      <c r="V80" s="197"/>
      <c r="W80" s="197"/>
      <c r="X80" s="197" t="s">
        <v>1102</v>
      </c>
      <c r="Y80" s="196"/>
      <c r="Z80" s="196"/>
      <c r="AA80" s="199"/>
      <c r="AB80" s="199"/>
      <c r="AC80" s="197" t="s">
        <v>245</v>
      </c>
      <c r="AD80" s="197" t="s">
        <v>1103</v>
      </c>
      <c r="AE80" s="197" t="s">
        <v>1104</v>
      </c>
      <c r="AF80" s="196" t="s">
        <v>563</v>
      </c>
      <c r="AG80" s="197" t="s">
        <v>114</v>
      </c>
      <c r="AH80" s="197" t="s">
        <v>570</v>
      </c>
    </row>
    <row r="81" spans="1:34" ht="14.25" customHeight="1">
      <c r="A81" s="196">
        <v>3069</v>
      </c>
      <c r="B81" s="197" t="s">
        <v>7</v>
      </c>
      <c r="C81" s="197" t="s">
        <v>512</v>
      </c>
      <c r="D81" s="197"/>
      <c r="E81" s="197" t="s">
        <v>151</v>
      </c>
      <c r="F81" s="198">
        <v>31193</v>
      </c>
      <c r="G81" s="197" t="s">
        <v>1105</v>
      </c>
      <c r="H81" s="198">
        <v>45153</v>
      </c>
      <c r="I81" s="198">
        <v>45153</v>
      </c>
      <c r="J81" s="197" t="s">
        <v>242</v>
      </c>
      <c r="K81" s="196" t="s">
        <v>112</v>
      </c>
      <c r="L81" s="197" t="s">
        <v>118</v>
      </c>
      <c r="M81" s="197" t="s">
        <v>561</v>
      </c>
      <c r="N81" s="197" t="s">
        <v>591</v>
      </c>
      <c r="O81" s="197" t="s">
        <v>118</v>
      </c>
      <c r="P81" s="197" t="s">
        <v>563</v>
      </c>
      <c r="Q81" s="197" t="s">
        <v>66</v>
      </c>
      <c r="R81" s="196"/>
      <c r="S81" s="197" t="s">
        <v>1106</v>
      </c>
      <c r="T81" s="197" t="s">
        <v>1065</v>
      </c>
      <c r="U81" s="197" t="s">
        <v>1101</v>
      </c>
      <c r="V81" s="197"/>
      <c r="W81" s="197"/>
      <c r="X81" s="197" t="s">
        <v>1107</v>
      </c>
      <c r="Y81" s="196"/>
      <c r="Z81" s="196"/>
      <c r="AA81" s="199"/>
      <c r="AB81" s="199"/>
      <c r="AC81" s="197" t="s">
        <v>245</v>
      </c>
      <c r="AD81" s="197" t="s">
        <v>1108</v>
      </c>
      <c r="AE81" s="197" t="s">
        <v>1109</v>
      </c>
      <c r="AF81" s="196" t="s">
        <v>563</v>
      </c>
      <c r="AG81" s="197" t="s">
        <v>114</v>
      </c>
      <c r="AH81" s="197" t="s">
        <v>570</v>
      </c>
    </row>
    <row r="82" spans="1:34" ht="14.25" customHeight="1">
      <c r="A82" s="200">
        <v>3070</v>
      </c>
      <c r="B82" s="201" t="s">
        <v>7</v>
      </c>
      <c r="C82" s="201" t="s">
        <v>1110</v>
      </c>
      <c r="D82" s="201"/>
      <c r="E82" s="201" t="s">
        <v>151</v>
      </c>
      <c r="F82" s="202">
        <v>36096</v>
      </c>
      <c r="G82" s="201" t="s">
        <v>1111</v>
      </c>
      <c r="H82" s="202">
        <v>45151</v>
      </c>
      <c r="I82" s="202">
        <v>45151</v>
      </c>
      <c r="J82" s="201" t="s">
        <v>242</v>
      </c>
      <c r="K82" s="200" t="s">
        <v>112</v>
      </c>
      <c r="L82" s="201" t="s">
        <v>118</v>
      </c>
      <c r="M82" s="201" t="s">
        <v>561</v>
      </c>
      <c r="N82" s="201" t="s">
        <v>591</v>
      </c>
      <c r="O82" s="201" t="s">
        <v>118</v>
      </c>
      <c r="P82" s="201" t="s">
        <v>563</v>
      </c>
      <c r="Q82" s="201" t="s">
        <v>66</v>
      </c>
      <c r="R82" s="200"/>
      <c r="S82" s="201" t="s">
        <v>1093</v>
      </c>
      <c r="T82" s="201" t="s">
        <v>1065</v>
      </c>
      <c r="U82" s="201" t="s">
        <v>1101</v>
      </c>
      <c r="V82" s="201"/>
      <c r="W82" s="201"/>
      <c r="X82" s="201" t="s">
        <v>1112</v>
      </c>
      <c r="Y82" s="200"/>
      <c r="Z82" s="200"/>
      <c r="AA82" s="203"/>
      <c r="AB82" s="203"/>
      <c r="AC82" s="201" t="s">
        <v>245</v>
      </c>
      <c r="AD82" s="201" t="s">
        <v>1113</v>
      </c>
      <c r="AE82" s="201" t="s">
        <v>1114</v>
      </c>
      <c r="AF82" s="200" t="s">
        <v>563</v>
      </c>
      <c r="AG82" s="201" t="s">
        <v>114</v>
      </c>
      <c r="AH82" s="201" t="s">
        <v>570</v>
      </c>
    </row>
    <row r="83" spans="1:34" ht="14.25" customHeight="1">
      <c r="A83" s="196">
        <v>3079</v>
      </c>
      <c r="B83" s="197" t="s">
        <v>7</v>
      </c>
      <c r="C83" s="197" t="s">
        <v>1115</v>
      </c>
      <c r="D83" s="197"/>
      <c r="E83" s="197" t="s">
        <v>151</v>
      </c>
      <c r="F83" s="198">
        <v>35282</v>
      </c>
      <c r="G83" s="197" t="s">
        <v>1116</v>
      </c>
      <c r="H83" s="198">
        <v>45151</v>
      </c>
      <c r="I83" s="198">
        <v>45151</v>
      </c>
      <c r="J83" s="197" t="s">
        <v>242</v>
      </c>
      <c r="K83" s="196" t="s">
        <v>112</v>
      </c>
      <c r="L83" s="197" t="s">
        <v>118</v>
      </c>
      <c r="M83" s="197" t="s">
        <v>561</v>
      </c>
      <c r="N83" s="197" t="s">
        <v>591</v>
      </c>
      <c r="O83" s="197" t="s">
        <v>118</v>
      </c>
      <c r="P83" s="197" t="s">
        <v>563</v>
      </c>
      <c r="Q83" s="197" t="s">
        <v>66</v>
      </c>
      <c r="R83" s="196"/>
      <c r="S83" s="197" t="s">
        <v>1093</v>
      </c>
      <c r="T83" s="197" t="s">
        <v>1065</v>
      </c>
      <c r="U83" s="197" t="s">
        <v>1101</v>
      </c>
      <c r="V83" s="197"/>
      <c r="W83" s="197"/>
      <c r="X83" s="197" t="s">
        <v>1117</v>
      </c>
      <c r="Y83" s="196"/>
      <c r="Z83" s="196"/>
      <c r="AA83" s="199"/>
      <c r="AB83" s="199"/>
      <c r="AC83" s="197" t="s">
        <v>245</v>
      </c>
      <c r="AD83" s="197" t="s">
        <v>1118</v>
      </c>
      <c r="AE83" s="197" t="s">
        <v>1119</v>
      </c>
      <c r="AF83" s="196" t="s">
        <v>563</v>
      </c>
      <c r="AG83" s="197" t="s">
        <v>114</v>
      </c>
      <c r="AH83" s="197" t="s">
        <v>570</v>
      </c>
    </row>
    <row r="84" spans="1:34" ht="14.25" customHeight="1">
      <c r="A84" s="200">
        <v>3100</v>
      </c>
      <c r="B84" s="201" t="s">
        <v>7</v>
      </c>
      <c r="C84" s="201" t="s">
        <v>1120</v>
      </c>
      <c r="D84" s="201"/>
      <c r="E84" s="201" t="s">
        <v>151</v>
      </c>
      <c r="F84" s="202">
        <v>36008</v>
      </c>
      <c r="G84" s="201" t="s">
        <v>1121</v>
      </c>
      <c r="H84" s="202">
        <v>45158</v>
      </c>
      <c r="I84" s="202">
        <v>45158</v>
      </c>
      <c r="J84" s="201" t="s">
        <v>242</v>
      </c>
      <c r="K84" s="200" t="s">
        <v>112</v>
      </c>
      <c r="L84" s="201" t="s">
        <v>118</v>
      </c>
      <c r="M84" s="201" t="s">
        <v>561</v>
      </c>
      <c r="N84" s="201" t="s">
        <v>591</v>
      </c>
      <c r="O84" s="201" t="s">
        <v>118</v>
      </c>
      <c r="P84" s="201" t="s">
        <v>563</v>
      </c>
      <c r="Q84" s="201" t="s">
        <v>66</v>
      </c>
      <c r="R84" s="200"/>
      <c r="S84" s="201" t="s">
        <v>1122</v>
      </c>
      <c r="T84" s="201" t="s">
        <v>1065</v>
      </c>
      <c r="U84" s="201" t="s">
        <v>1123</v>
      </c>
      <c r="V84" s="201"/>
      <c r="W84" s="201"/>
      <c r="X84" s="201" t="s">
        <v>1124</v>
      </c>
      <c r="Y84" s="200"/>
      <c r="Z84" s="200"/>
      <c r="AA84" s="203"/>
      <c r="AB84" s="203"/>
      <c r="AC84" s="201" t="s">
        <v>245</v>
      </c>
      <c r="AD84" s="201" t="s">
        <v>1125</v>
      </c>
      <c r="AE84" s="201" t="s">
        <v>1126</v>
      </c>
      <c r="AF84" s="200" t="s">
        <v>563</v>
      </c>
      <c r="AG84" s="201" t="s">
        <v>114</v>
      </c>
      <c r="AH84" s="201" t="s">
        <v>570</v>
      </c>
    </row>
    <row r="85" spans="1:34" ht="14.25" customHeight="1">
      <c r="A85" s="196">
        <v>3107</v>
      </c>
      <c r="B85" s="197" t="s">
        <v>7</v>
      </c>
      <c r="C85" s="197" t="s">
        <v>1127</v>
      </c>
      <c r="D85" s="197"/>
      <c r="E85" s="197" t="s">
        <v>151</v>
      </c>
      <c r="F85" s="198">
        <v>36412</v>
      </c>
      <c r="G85" s="197" t="s">
        <v>1128</v>
      </c>
      <c r="H85" s="198">
        <v>45155</v>
      </c>
      <c r="I85" s="198">
        <v>45155</v>
      </c>
      <c r="J85" s="197" t="s">
        <v>242</v>
      </c>
      <c r="K85" s="196" t="s">
        <v>112</v>
      </c>
      <c r="L85" s="197" t="s">
        <v>118</v>
      </c>
      <c r="M85" s="197" t="s">
        <v>561</v>
      </c>
      <c r="N85" s="197" t="s">
        <v>591</v>
      </c>
      <c r="O85" s="197" t="s">
        <v>118</v>
      </c>
      <c r="P85" s="197" t="s">
        <v>563</v>
      </c>
      <c r="Q85" s="197" t="s">
        <v>66</v>
      </c>
      <c r="R85" s="196"/>
      <c r="S85" s="197" t="s">
        <v>1129</v>
      </c>
      <c r="T85" s="197" t="s">
        <v>1065</v>
      </c>
      <c r="U85" s="197" t="s">
        <v>1130</v>
      </c>
      <c r="V85" s="197"/>
      <c r="W85" s="197"/>
      <c r="X85" s="197" t="s">
        <v>1131</v>
      </c>
      <c r="Y85" s="196"/>
      <c r="Z85" s="196"/>
      <c r="AA85" s="199"/>
      <c r="AB85" s="199"/>
      <c r="AC85" s="197" t="s">
        <v>245</v>
      </c>
      <c r="AD85" s="197" t="s">
        <v>1132</v>
      </c>
      <c r="AE85" s="197" t="s">
        <v>1133</v>
      </c>
      <c r="AF85" s="196" t="s">
        <v>563</v>
      </c>
      <c r="AG85" s="197" t="s">
        <v>114</v>
      </c>
      <c r="AH85" s="197" t="s">
        <v>570</v>
      </c>
    </row>
    <row r="86" spans="1:34" ht="14.25" customHeight="1">
      <c r="A86" s="200">
        <v>3206</v>
      </c>
      <c r="B86" s="201" t="s">
        <v>7</v>
      </c>
      <c r="C86" s="201" t="s">
        <v>1134</v>
      </c>
      <c r="D86" s="201"/>
      <c r="E86" s="201" t="s">
        <v>151</v>
      </c>
      <c r="F86" s="202">
        <v>32962</v>
      </c>
      <c r="G86" s="201" t="s">
        <v>1135</v>
      </c>
      <c r="H86" s="202">
        <v>45158</v>
      </c>
      <c r="I86" s="202">
        <v>45158</v>
      </c>
      <c r="J86" s="201" t="s">
        <v>258</v>
      </c>
      <c r="K86" s="200" t="s">
        <v>112</v>
      </c>
      <c r="L86" s="201" t="s">
        <v>113</v>
      </c>
      <c r="M86" s="201" t="s">
        <v>561</v>
      </c>
      <c r="N86" s="201" t="s">
        <v>562</v>
      </c>
      <c r="O86" s="201" t="s">
        <v>113</v>
      </c>
      <c r="P86" s="201" t="s">
        <v>563</v>
      </c>
      <c r="Q86" s="201" t="s">
        <v>66</v>
      </c>
      <c r="R86" s="200"/>
      <c r="S86" s="201" t="s">
        <v>1122</v>
      </c>
      <c r="T86" s="201" t="s">
        <v>1065</v>
      </c>
      <c r="U86" s="201" t="s">
        <v>1136</v>
      </c>
      <c r="V86" s="201"/>
      <c r="W86" s="201"/>
      <c r="X86" s="201" t="s">
        <v>1137</v>
      </c>
      <c r="Y86" s="200"/>
      <c r="Z86" s="200"/>
      <c r="AA86" s="203"/>
      <c r="AB86" s="203"/>
      <c r="AC86" s="201" t="s">
        <v>245</v>
      </c>
      <c r="AD86" s="201" t="s">
        <v>1138</v>
      </c>
      <c r="AE86" s="201" t="s">
        <v>1139</v>
      </c>
      <c r="AF86" s="200" t="s">
        <v>563</v>
      </c>
      <c r="AG86" s="201" t="s">
        <v>114</v>
      </c>
      <c r="AH86" s="201" t="s">
        <v>570</v>
      </c>
    </row>
    <row r="87" spans="1:34" ht="14.25" customHeight="1">
      <c r="A87" s="196">
        <v>3207</v>
      </c>
      <c r="B87" s="197" t="s">
        <v>7</v>
      </c>
      <c r="C87" s="197" t="s">
        <v>1140</v>
      </c>
      <c r="D87" s="197"/>
      <c r="E87" s="197" t="s">
        <v>151</v>
      </c>
      <c r="F87" s="198">
        <v>34864</v>
      </c>
      <c r="G87" s="197" t="s">
        <v>1141</v>
      </c>
      <c r="H87" s="198">
        <v>45158</v>
      </c>
      <c r="I87" s="198">
        <v>45158</v>
      </c>
      <c r="J87" s="197" t="s">
        <v>258</v>
      </c>
      <c r="K87" s="196" t="s">
        <v>112</v>
      </c>
      <c r="L87" s="197" t="s">
        <v>113</v>
      </c>
      <c r="M87" s="197" t="s">
        <v>561</v>
      </c>
      <c r="N87" s="197" t="s">
        <v>562</v>
      </c>
      <c r="O87" s="197" t="s">
        <v>113</v>
      </c>
      <c r="P87" s="197" t="s">
        <v>563</v>
      </c>
      <c r="Q87" s="197" t="s">
        <v>66</v>
      </c>
      <c r="R87" s="196"/>
      <c r="S87" s="197" t="s">
        <v>1122</v>
      </c>
      <c r="T87" s="197" t="s">
        <v>1065</v>
      </c>
      <c r="U87" s="197" t="s">
        <v>1142</v>
      </c>
      <c r="V87" s="197"/>
      <c r="W87" s="197"/>
      <c r="X87" s="197" t="s">
        <v>1143</v>
      </c>
      <c r="Y87" s="196"/>
      <c r="Z87" s="196"/>
      <c r="AA87" s="199"/>
      <c r="AB87" s="199"/>
      <c r="AC87" s="197" t="s">
        <v>245</v>
      </c>
      <c r="AD87" s="197" t="s">
        <v>1144</v>
      </c>
      <c r="AE87" s="197" t="s">
        <v>1145</v>
      </c>
      <c r="AF87" s="196" t="s">
        <v>563</v>
      </c>
      <c r="AG87" s="197" t="s">
        <v>114</v>
      </c>
      <c r="AH87" s="197" t="s">
        <v>570</v>
      </c>
    </row>
    <row r="88" spans="1:34" ht="14.25" customHeight="1">
      <c r="A88" s="196">
        <v>3213</v>
      </c>
      <c r="B88" s="197" t="s">
        <v>7</v>
      </c>
      <c r="C88" s="197" t="s">
        <v>419</v>
      </c>
      <c r="D88" s="197"/>
      <c r="E88" s="197" t="s">
        <v>151</v>
      </c>
      <c r="F88" s="198">
        <v>32502</v>
      </c>
      <c r="G88" s="197" t="s">
        <v>1146</v>
      </c>
      <c r="H88" s="198">
        <v>45158</v>
      </c>
      <c r="I88" s="198">
        <v>45158</v>
      </c>
      <c r="J88" s="197" t="s">
        <v>258</v>
      </c>
      <c r="K88" s="196" t="s">
        <v>112</v>
      </c>
      <c r="L88" s="197" t="s">
        <v>113</v>
      </c>
      <c r="M88" s="197" t="s">
        <v>561</v>
      </c>
      <c r="N88" s="197" t="s">
        <v>562</v>
      </c>
      <c r="O88" s="197" t="s">
        <v>113</v>
      </c>
      <c r="P88" s="197" t="s">
        <v>563</v>
      </c>
      <c r="Q88" s="197" t="s">
        <v>66</v>
      </c>
      <c r="R88" s="196"/>
      <c r="S88" s="197" t="s">
        <v>1122</v>
      </c>
      <c r="T88" s="197" t="s">
        <v>1065</v>
      </c>
      <c r="U88" s="197" t="s">
        <v>1147</v>
      </c>
      <c r="V88" s="197"/>
      <c r="W88" s="197"/>
      <c r="X88" s="197" t="s">
        <v>1148</v>
      </c>
      <c r="Y88" s="196"/>
      <c r="Z88" s="196"/>
      <c r="AA88" s="199"/>
      <c r="AB88" s="199"/>
      <c r="AC88" s="197" t="s">
        <v>245</v>
      </c>
      <c r="AD88" s="197" t="s">
        <v>1149</v>
      </c>
      <c r="AE88" s="197" t="s">
        <v>1150</v>
      </c>
      <c r="AF88" s="196" t="s">
        <v>563</v>
      </c>
      <c r="AG88" s="197" t="s">
        <v>114</v>
      </c>
      <c r="AH88" s="197" t="s">
        <v>570</v>
      </c>
    </row>
    <row r="89" spans="1:34" ht="14.25" customHeight="1">
      <c r="A89" s="200">
        <v>3284</v>
      </c>
      <c r="B89" s="201" t="s">
        <v>7</v>
      </c>
      <c r="C89" s="201" t="s">
        <v>1151</v>
      </c>
      <c r="D89" s="201"/>
      <c r="E89" s="201" t="s">
        <v>151</v>
      </c>
      <c r="F89" s="202">
        <v>33102</v>
      </c>
      <c r="G89" s="201" t="s">
        <v>1152</v>
      </c>
      <c r="H89" s="202">
        <v>45165</v>
      </c>
      <c r="I89" s="202">
        <v>45165</v>
      </c>
      <c r="J89" s="201" t="s">
        <v>258</v>
      </c>
      <c r="K89" s="200" t="s">
        <v>112</v>
      </c>
      <c r="L89" s="201" t="s">
        <v>113</v>
      </c>
      <c r="M89" s="201" t="s">
        <v>561</v>
      </c>
      <c r="N89" s="201" t="s">
        <v>562</v>
      </c>
      <c r="O89" s="201" t="s">
        <v>113</v>
      </c>
      <c r="P89" s="201" t="s">
        <v>563</v>
      </c>
      <c r="Q89" s="201" t="s">
        <v>66</v>
      </c>
      <c r="R89" s="200"/>
      <c r="S89" s="201" t="s">
        <v>1153</v>
      </c>
      <c r="T89" s="201" t="s">
        <v>1065</v>
      </c>
      <c r="U89" s="201" t="s">
        <v>1154</v>
      </c>
      <c r="V89" s="201"/>
      <c r="W89" s="201"/>
      <c r="X89" s="201" t="s">
        <v>1155</v>
      </c>
      <c r="Y89" s="200"/>
      <c r="Z89" s="200"/>
      <c r="AA89" s="203"/>
      <c r="AB89" s="203"/>
      <c r="AC89" s="201" t="s">
        <v>245</v>
      </c>
      <c r="AD89" s="201" t="s">
        <v>1156</v>
      </c>
      <c r="AE89" s="201" t="s">
        <v>1157</v>
      </c>
      <c r="AF89" s="200" t="s">
        <v>563</v>
      </c>
      <c r="AG89" s="201" t="s">
        <v>114</v>
      </c>
      <c r="AH89" s="201" t="s">
        <v>570</v>
      </c>
    </row>
    <row r="90" spans="1:34" ht="14.25" customHeight="1">
      <c r="A90" s="196">
        <v>3409</v>
      </c>
      <c r="B90" s="197" t="s">
        <v>4</v>
      </c>
      <c r="C90" s="197" t="s">
        <v>1158</v>
      </c>
      <c r="D90" s="197"/>
      <c r="E90" s="197" t="s">
        <v>151</v>
      </c>
      <c r="F90" s="198">
        <v>33942</v>
      </c>
      <c r="G90" s="197" t="s">
        <v>1159</v>
      </c>
      <c r="H90" s="198">
        <v>45182</v>
      </c>
      <c r="I90" s="198">
        <v>45182</v>
      </c>
      <c r="J90" s="197" t="s">
        <v>258</v>
      </c>
      <c r="K90" s="196" t="s">
        <v>112</v>
      </c>
      <c r="L90" s="197" t="s">
        <v>113</v>
      </c>
      <c r="M90" s="197" t="s">
        <v>561</v>
      </c>
      <c r="N90" s="197" t="s">
        <v>562</v>
      </c>
      <c r="O90" s="196"/>
      <c r="P90" s="197" t="s">
        <v>563</v>
      </c>
      <c r="Q90" s="197" t="s">
        <v>66</v>
      </c>
      <c r="R90" s="196"/>
      <c r="S90" s="197" t="s">
        <v>1160</v>
      </c>
      <c r="T90" s="197" t="s">
        <v>1065</v>
      </c>
      <c r="U90" s="197" t="s">
        <v>1161</v>
      </c>
      <c r="V90" s="197"/>
      <c r="W90" s="197"/>
      <c r="X90" s="197" t="s">
        <v>1162</v>
      </c>
      <c r="Y90" s="196"/>
      <c r="Z90" s="196"/>
      <c r="AA90" s="199"/>
      <c r="AB90" s="199"/>
      <c r="AC90" s="197" t="s">
        <v>245</v>
      </c>
      <c r="AD90" s="197" t="s">
        <v>1163</v>
      </c>
      <c r="AE90" s="197" t="s">
        <v>1164</v>
      </c>
      <c r="AF90" s="196" t="s">
        <v>563</v>
      </c>
      <c r="AG90" s="197" t="s">
        <v>114</v>
      </c>
      <c r="AH90" s="197" t="s">
        <v>570</v>
      </c>
    </row>
    <row r="91" spans="1:34" ht="14.25" customHeight="1">
      <c r="A91" s="196">
        <v>3441</v>
      </c>
      <c r="B91" s="197" t="s">
        <v>7</v>
      </c>
      <c r="C91" s="197" t="s">
        <v>1165</v>
      </c>
      <c r="D91" s="197"/>
      <c r="E91" s="197" t="s">
        <v>572</v>
      </c>
      <c r="F91" s="198">
        <v>32930</v>
      </c>
      <c r="G91" s="197" t="s">
        <v>1166</v>
      </c>
      <c r="H91" s="198">
        <v>45164</v>
      </c>
      <c r="I91" s="198">
        <v>45164</v>
      </c>
      <c r="J91" s="197" t="s">
        <v>242</v>
      </c>
      <c r="K91" s="196" t="s">
        <v>112</v>
      </c>
      <c r="L91" s="197" t="s">
        <v>131</v>
      </c>
      <c r="M91" s="197" t="s">
        <v>561</v>
      </c>
      <c r="N91" s="197" t="s">
        <v>591</v>
      </c>
      <c r="O91" s="197" t="s">
        <v>131</v>
      </c>
      <c r="P91" s="197" t="s">
        <v>563</v>
      </c>
      <c r="Q91" s="197" t="s">
        <v>295</v>
      </c>
      <c r="R91" s="196"/>
      <c r="S91" s="197" t="s">
        <v>1167</v>
      </c>
      <c r="T91" s="197" t="s">
        <v>1065</v>
      </c>
      <c r="U91" s="197" t="s">
        <v>1168</v>
      </c>
      <c r="V91" s="197"/>
      <c r="W91" s="197"/>
      <c r="X91" s="197" t="s">
        <v>1169</v>
      </c>
      <c r="Y91" s="196"/>
      <c r="Z91" s="196"/>
      <c r="AA91" s="199"/>
      <c r="AB91" s="199"/>
      <c r="AC91" s="197" t="s">
        <v>245</v>
      </c>
      <c r="AD91" s="197" t="s">
        <v>1170</v>
      </c>
      <c r="AE91" s="197" t="s">
        <v>1171</v>
      </c>
      <c r="AF91" s="196" t="s">
        <v>563</v>
      </c>
      <c r="AG91" s="197" t="s">
        <v>114</v>
      </c>
      <c r="AH91" s="197" t="s">
        <v>570</v>
      </c>
    </row>
    <row r="92" spans="1:34" ht="14.25" customHeight="1">
      <c r="A92" s="200">
        <v>3442</v>
      </c>
      <c r="B92" s="201" t="s">
        <v>6</v>
      </c>
      <c r="C92" s="201" t="s">
        <v>1172</v>
      </c>
      <c r="D92" s="201"/>
      <c r="E92" s="201" t="s">
        <v>572</v>
      </c>
      <c r="F92" s="202">
        <v>32930</v>
      </c>
      <c r="G92" s="201" t="s">
        <v>1173</v>
      </c>
      <c r="H92" s="202">
        <v>45164</v>
      </c>
      <c r="I92" s="202">
        <v>45164</v>
      </c>
      <c r="J92" s="201" t="s">
        <v>242</v>
      </c>
      <c r="K92" s="200" t="s">
        <v>112</v>
      </c>
      <c r="L92" s="201" t="s">
        <v>131</v>
      </c>
      <c r="M92" s="201" t="s">
        <v>561</v>
      </c>
      <c r="N92" s="201" t="s">
        <v>591</v>
      </c>
      <c r="O92" s="201" t="s">
        <v>131</v>
      </c>
      <c r="P92" s="201" t="s">
        <v>563</v>
      </c>
      <c r="Q92" s="201" t="s">
        <v>121</v>
      </c>
      <c r="R92" s="200"/>
      <c r="S92" s="201" t="s">
        <v>1167</v>
      </c>
      <c r="T92" s="201" t="s">
        <v>1065</v>
      </c>
      <c r="U92" s="201" t="s">
        <v>1174</v>
      </c>
      <c r="V92" s="201"/>
      <c r="W92" s="201"/>
      <c r="X92" s="201" t="s">
        <v>1175</v>
      </c>
      <c r="Y92" s="200"/>
      <c r="Z92" s="200"/>
      <c r="AA92" s="203"/>
      <c r="AB92" s="203"/>
      <c r="AC92" s="201" t="s">
        <v>245</v>
      </c>
      <c r="AD92" s="201" t="s">
        <v>1176</v>
      </c>
      <c r="AE92" s="201" t="s">
        <v>1177</v>
      </c>
      <c r="AF92" s="200" t="s">
        <v>563</v>
      </c>
      <c r="AG92" s="201" t="s">
        <v>114</v>
      </c>
      <c r="AH92" s="201" t="s">
        <v>570</v>
      </c>
    </row>
    <row r="93" spans="1:34" ht="14.25" customHeight="1">
      <c r="A93" s="200">
        <v>3460</v>
      </c>
      <c r="B93" s="201" t="s">
        <v>7</v>
      </c>
      <c r="C93" s="201" t="s">
        <v>537</v>
      </c>
      <c r="D93" s="201"/>
      <c r="E93" s="201" t="s">
        <v>151</v>
      </c>
      <c r="F93" s="202">
        <v>25569</v>
      </c>
      <c r="G93" s="201" t="s">
        <v>1178</v>
      </c>
      <c r="H93" s="202">
        <v>45173</v>
      </c>
      <c r="I93" s="202">
        <v>45173</v>
      </c>
      <c r="J93" s="201" t="s">
        <v>242</v>
      </c>
      <c r="K93" s="200" t="s">
        <v>112</v>
      </c>
      <c r="L93" s="201" t="s">
        <v>132</v>
      </c>
      <c r="M93" s="201" t="s">
        <v>561</v>
      </c>
      <c r="N93" s="201" t="s">
        <v>562</v>
      </c>
      <c r="O93" s="200"/>
      <c r="P93" s="201" t="s">
        <v>563</v>
      </c>
      <c r="Q93" s="201" t="s">
        <v>66</v>
      </c>
      <c r="R93" s="200"/>
      <c r="S93" s="201" t="s">
        <v>1179</v>
      </c>
      <c r="T93" s="201" t="s">
        <v>1065</v>
      </c>
      <c r="U93" s="201" t="s">
        <v>1180</v>
      </c>
      <c r="V93" s="201"/>
      <c r="W93" s="201"/>
      <c r="X93" s="201" t="s">
        <v>1181</v>
      </c>
      <c r="Y93" s="200"/>
      <c r="Z93" s="200"/>
      <c r="AA93" s="203"/>
      <c r="AB93" s="203"/>
      <c r="AC93" s="201" t="s">
        <v>245</v>
      </c>
      <c r="AD93" s="201" t="s">
        <v>1182</v>
      </c>
      <c r="AE93" s="201" t="s">
        <v>1183</v>
      </c>
      <c r="AF93" s="200" t="s">
        <v>563</v>
      </c>
      <c r="AG93" s="201" t="s">
        <v>114</v>
      </c>
      <c r="AH93" s="201" t="s">
        <v>570</v>
      </c>
    </row>
    <row r="94" spans="1:34" ht="14.25" customHeight="1">
      <c r="A94" s="196">
        <v>3503</v>
      </c>
      <c r="B94" s="197" t="s">
        <v>4</v>
      </c>
      <c r="C94" s="197" t="s">
        <v>539</v>
      </c>
      <c r="D94" s="197"/>
      <c r="E94" s="197" t="s">
        <v>151</v>
      </c>
      <c r="F94" s="198">
        <v>30628</v>
      </c>
      <c r="G94" s="197" t="s">
        <v>1184</v>
      </c>
      <c r="H94" s="198">
        <v>45209</v>
      </c>
      <c r="I94" s="198">
        <v>45209</v>
      </c>
      <c r="J94" s="197" t="s">
        <v>242</v>
      </c>
      <c r="K94" s="196" t="s">
        <v>112</v>
      </c>
      <c r="L94" s="197" t="s">
        <v>118</v>
      </c>
      <c r="M94" s="197" t="s">
        <v>561</v>
      </c>
      <c r="N94" s="197" t="s">
        <v>591</v>
      </c>
      <c r="O94" s="196"/>
      <c r="P94" s="197" t="s">
        <v>563</v>
      </c>
      <c r="Q94" s="197" t="s">
        <v>66</v>
      </c>
      <c r="R94" s="196"/>
      <c r="S94" s="197" t="s">
        <v>1185</v>
      </c>
      <c r="T94" s="197" t="s">
        <v>1065</v>
      </c>
      <c r="U94" s="197" t="s">
        <v>1186</v>
      </c>
      <c r="V94" s="197"/>
      <c r="W94" s="197"/>
      <c r="X94" s="197" t="s">
        <v>1187</v>
      </c>
      <c r="Y94" s="196"/>
      <c r="Z94" s="196"/>
      <c r="AA94" s="199"/>
      <c r="AB94" s="199"/>
      <c r="AC94" s="197" t="s">
        <v>245</v>
      </c>
      <c r="AD94" s="197" t="s">
        <v>1188</v>
      </c>
      <c r="AE94" s="197" t="s">
        <v>1189</v>
      </c>
      <c r="AF94" s="196" t="s">
        <v>563</v>
      </c>
      <c r="AG94" s="197" t="s">
        <v>114</v>
      </c>
      <c r="AH94" s="197" t="s">
        <v>570</v>
      </c>
    </row>
    <row r="95" spans="1:34" ht="14.25" customHeight="1">
      <c r="A95" s="200">
        <v>3508</v>
      </c>
      <c r="B95" s="201" t="s">
        <v>6</v>
      </c>
      <c r="C95" s="201" t="s">
        <v>500</v>
      </c>
      <c r="D95" s="201"/>
      <c r="E95" s="201" t="s">
        <v>151</v>
      </c>
      <c r="F95" s="202">
        <v>34759</v>
      </c>
      <c r="G95" s="201" t="s">
        <v>1190</v>
      </c>
      <c r="H95" s="202">
        <v>45215</v>
      </c>
      <c r="I95" s="202">
        <v>45215</v>
      </c>
      <c r="J95" s="201" t="s">
        <v>258</v>
      </c>
      <c r="K95" s="200" t="s">
        <v>112</v>
      </c>
      <c r="L95" s="201" t="s">
        <v>113</v>
      </c>
      <c r="M95" s="201" t="s">
        <v>561</v>
      </c>
      <c r="N95" s="201" t="s">
        <v>591</v>
      </c>
      <c r="O95" s="200"/>
      <c r="P95" s="201" t="s">
        <v>563</v>
      </c>
      <c r="Q95" s="201" t="s">
        <v>66</v>
      </c>
      <c r="R95" s="200"/>
      <c r="S95" s="201" t="s">
        <v>1191</v>
      </c>
      <c r="T95" s="201" t="s">
        <v>1065</v>
      </c>
      <c r="U95" s="201" t="s">
        <v>1192</v>
      </c>
      <c r="V95" s="201"/>
      <c r="W95" s="201"/>
      <c r="X95" s="201" t="s">
        <v>501</v>
      </c>
      <c r="Y95" s="200"/>
      <c r="Z95" s="200"/>
      <c r="AA95" s="203"/>
      <c r="AB95" s="203"/>
      <c r="AC95" s="201" t="s">
        <v>245</v>
      </c>
      <c r="AD95" s="201" t="s">
        <v>1193</v>
      </c>
      <c r="AE95" s="201" t="s">
        <v>1194</v>
      </c>
      <c r="AF95" s="200" t="s">
        <v>563</v>
      </c>
      <c r="AG95" s="201" t="s">
        <v>114</v>
      </c>
      <c r="AH95" s="201" t="s">
        <v>570</v>
      </c>
    </row>
    <row r="96" spans="1:34" ht="14.25" customHeight="1">
      <c r="A96" s="196">
        <v>3577</v>
      </c>
      <c r="B96" s="197" t="s">
        <v>7</v>
      </c>
      <c r="C96" s="197" t="s">
        <v>523</v>
      </c>
      <c r="D96" s="197"/>
      <c r="E96" s="197" t="s">
        <v>151</v>
      </c>
      <c r="F96" s="198">
        <v>35730</v>
      </c>
      <c r="G96" s="197" t="s">
        <v>1195</v>
      </c>
      <c r="H96" s="198">
        <v>45257</v>
      </c>
      <c r="I96" s="198">
        <v>45257</v>
      </c>
      <c r="J96" s="197" t="s">
        <v>258</v>
      </c>
      <c r="K96" s="196" t="s">
        <v>112</v>
      </c>
      <c r="L96" s="197" t="s">
        <v>113</v>
      </c>
      <c r="M96" s="197" t="s">
        <v>561</v>
      </c>
      <c r="N96" s="197" t="s">
        <v>591</v>
      </c>
      <c r="O96" s="196"/>
      <c r="P96" s="197" t="s">
        <v>563</v>
      </c>
      <c r="Q96" s="197" t="s">
        <v>66</v>
      </c>
      <c r="R96" s="196"/>
      <c r="S96" s="197" t="s">
        <v>1196</v>
      </c>
      <c r="T96" s="197" t="s">
        <v>1065</v>
      </c>
      <c r="U96" s="197" t="s">
        <v>1197</v>
      </c>
      <c r="V96" s="197"/>
      <c r="W96" s="197"/>
      <c r="X96" s="197" t="s">
        <v>1198</v>
      </c>
      <c r="Y96" s="196"/>
      <c r="Z96" s="196"/>
      <c r="AA96" s="199"/>
      <c r="AB96" s="199"/>
      <c r="AC96" s="197" t="s">
        <v>245</v>
      </c>
      <c r="AD96" s="197" t="s">
        <v>1199</v>
      </c>
      <c r="AE96" s="197" t="s">
        <v>1200</v>
      </c>
      <c r="AF96" s="196" t="s">
        <v>563</v>
      </c>
      <c r="AG96" s="197" t="s">
        <v>114</v>
      </c>
      <c r="AH96" s="197" t="s">
        <v>570</v>
      </c>
    </row>
    <row r="97" spans="1:34" ht="14.25" customHeight="1">
      <c r="A97" s="196">
        <v>3625</v>
      </c>
      <c r="B97" s="197" t="s">
        <v>4</v>
      </c>
      <c r="C97" s="197" t="s">
        <v>1201</v>
      </c>
      <c r="D97" s="197"/>
      <c r="E97" s="197" t="s">
        <v>151</v>
      </c>
      <c r="F97" s="198">
        <v>35323</v>
      </c>
      <c r="G97" s="197" t="s">
        <v>1202</v>
      </c>
      <c r="H97" s="198">
        <v>45306</v>
      </c>
      <c r="I97" s="198">
        <v>45306</v>
      </c>
      <c r="J97" s="197" t="s">
        <v>258</v>
      </c>
      <c r="K97" s="196" t="s">
        <v>112</v>
      </c>
      <c r="L97" s="197" t="s">
        <v>113</v>
      </c>
      <c r="M97" s="197" t="s">
        <v>561</v>
      </c>
      <c r="N97" s="197" t="s">
        <v>591</v>
      </c>
      <c r="O97" s="196"/>
      <c r="P97" s="197" t="s">
        <v>563</v>
      </c>
      <c r="Q97" s="197" t="s">
        <v>66</v>
      </c>
      <c r="R97" s="196"/>
      <c r="S97" s="197" t="s">
        <v>1203</v>
      </c>
      <c r="T97" s="197" t="s">
        <v>1204</v>
      </c>
      <c r="U97" s="197" t="s">
        <v>1205</v>
      </c>
      <c r="V97" s="197"/>
      <c r="W97" s="197"/>
      <c r="X97" s="197" t="s">
        <v>503</v>
      </c>
      <c r="Y97" s="196"/>
      <c r="Z97" s="196"/>
      <c r="AA97" s="199"/>
      <c r="AB97" s="199"/>
      <c r="AC97" s="197" t="s">
        <v>245</v>
      </c>
      <c r="AD97" s="197" t="s">
        <v>1206</v>
      </c>
      <c r="AE97" s="197" t="s">
        <v>1207</v>
      </c>
      <c r="AF97" s="196" t="s">
        <v>563</v>
      </c>
      <c r="AG97" s="197" t="s">
        <v>114</v>
      </c>
      <c r="AH97" s="197" t="s">
        <v>570</v>
      </c>
    </row>
    <row r="98" spans="1:34" ht="14.25" customHeight="1">
      <c r="A98" s="200">
        <v>3640</v>
      </c>
      <c r="B98" s="201" t="s">
        <v>6</v>
      </c>
      <c r="C98" s="201" t="s">
        <v>538</v>
      </c>
      <c r="D98" s="201"/>
      <c r="E98" s="201" t="s">
        <v>151</v>
      </c>
      <c r="F98" s="202">
        <v>30682</v>
      </c>
      <c r="G98" s="201" t="s">
        <v>1208</v>
      </c>
      <c r="H98" s="202">
        <v>45505</v>
      </c>
      <c r="I98" s="202">
        <v>45313</v>
      </c>
      <c r="J98" s="201" t="s">
        <v>380</v>
      </c>
      <c r="K98" s="200" t="s">
        <v>112</v>
      </c>
      <c r="L98" s="201" t="s">
        <v>370</v>
      </c>
      <c r="M98" s="201" t="s">
        <v>561</v>
      </c>
      <c r="N98" s="201" t="s">
        <v>562</v>
      </c>
      <c r="O98" s="200"/>
      <c r="P98" s="201" t="s">
        <v>563</v>
      </c>
      <c r="Q98" s="201" t="s">
        <v>52</v>
      </c>
      <c r="R98" s="200"/>
      <c r="S98" s="201" t="s">
        <v>1209</v>
      </c>
      <c r="T98" s="201" t="s">
        <v>1204</v>
      </c>
      <c r="U98" s="201" t="s">
        <v>1210</v>
      </c>
      <c r="V98" s="201"/>
      <c r="W98" s="201"/>
      <c r="X98" s="201" t="s">
        <v>1211</v>
      </c>
      <c r="Y98" s="200"/>
      <c r="Z98" s="200"/>
      <c r="AA98" s="203"/>
      <c r="AB98" s="203"/>
      <c r="AC98" s="201" t="s">
        <v>245</v>
      </c>
      <c r="AD98" s="201" t="s">
        <v>1212</v>
      </c>
      <c r="AE98" s="201" t="s">
        <v>1213</v>
      </c>
      <c r="AF98" s="200" t="s">
        <v>563</v>
      </c>
      <c r="AG98" s="201" t="s">
        <v>114</v>
      </c>
      <c r="AH98" s="201" t="s">
        <v>570</v>
      </c>
    </row>
    <row r="99" spans="1:34" ht="14.25" customHeight="1">
      <c r="A99" s="204">
        <v>3738</v>
      </c>
      <c r="B99" s="205" t="s">
        <v>4</v>
      </c>
      <c r="C99" s="205" t="s">
        <v>1214</v>
      </c>
      <c r="D99" s="206" t="s">
        <v>1215</v>
      </c>
      <c r="E99" s="201" t="s">
        <v>151</v>
      </c>
      <c r="F99" s="202">
        <v>28623</v>
      </c>
      <c r="G99" s="201" t="s">
        <v>1216</v>
      </c>
      <c r="H99" s="202">
        <v>45466</v>
      </c>
      <c r="I99" s="202">
        <v>45166</v>
      </c>
      <c r="J99" s="201" t="s">
        <v>378</v>
      </c>
      <c r="K99" s="200" t="s">
        <v>112</v>
      </c>
      <c r="L99" s="201" t="s">
        <v>118</v>
      </c>
      <c r="M99" s="201" t="s">
        <v>561</v>
      </c>
      <c r="N99" s="201" t="s">
        <v>562</v>
      </c>
      <c r="O99" s="201" t="s">
        <v>118</v>
      </c>
      <c r="P99" s="201" t="s">
        <v>563</v>
      </c>
      <c r="Q99" s="201" t="s">
        <v>1217</v>
      </c>
      <c r="R99" s="200"/>
      <c r="S99" s="201" t="s">
        <v>1218</v>
      </c>
      <c r="T99" s="201" t="s">
        <v>1065</v>
      </c>
      <c r="U99" s="201" t="s">
        <v>1219</v>
      </c>
      <c r="V99" s="201"/>
      <c r="W99" s="201"/>
      <c r="X99" s="201" t="s">
        <v>1220</v>
      </c>
      <c r="Y99" s="200"/>
      <c r="Z99" s="200"/>
      <c r="AA99" s="203"/>
      <c r="AB99" s="203"/>
      <c r="AC99" s="201" t="s">
        <v>245</v>
      </c>
      <c r="AD99" s="201" t="s">
        <v>1221</v>
      </c>
      <c r="AE99" s="201" t="s">
        <v>1222</v>
      </c>
      <c r="AF99" s="200" t="s">
        <v>563</v>
      </c>
      <c r="AG99" s="201" t="s">
        <v>114</v>
      </c>
      <c r="AH99" s="201" t="s">
        <v>570</v>
      </c>
    </row>
    <row r="100" spans="1:34" ht="14.25" customHeight="1">
      <c r="A100" s="200">
        <v>3740</v>
      </c>
      <c r="B100" s="201" t="s">
        <v>4</v>
      </c>
      <c r="C100" s="201" t="s">
        <v>1223</v>
      </c>
      <c r="D100" s="201"/>
      <c r="E100" s="201" t="s">
        <v>151</v>
      </c>
      <c r="F100" s="202">
        <v>34353</v>
      </c>
      <c r="G100" s="201" t="s">
        <v>1224</v>
      </c>
      <c r="H100" s="202">
        <v>45518</v>
      </c>
      <c r="I100" s="202">
        <v>45142</v>
      </c>
      <c r="J100" s="201" t="s">
        <v>378</v>
      </c>
      <c r="K100" s="200" t="s">
        <v>112</v>
      </c>
      <c r="L100" s="201" t="s">
        <v>118</v>
      </c>
      <c r="M100" s="201" t="s">
        <v>561</v>
      </c>
      <c r="N100" s="201" t="s">
        <v>562</v>
      </c>
      <c r="O100" s="201" t="s">
        <v>118</v>
      </c>
      <c r="P100" s="201" t="s">
        <v>563</v>
      </c>
      <c r="Q100" s="201" t="s">
        <v>66</v>
      </c>
      <c r="R100" s="200"/>
      <c r="S100" s="201" t="s">
        <v>1225</v>
      </c>
      <c r="T100" s="201" t="s">
        <v>1065</v>
      </c>
      <c r="U100" s="201" t="s">
        <v>1226</v>
      </c>
      <c r="V100" s="201"/>
      <c r="W100" s="201"/>
      <c r="X100" s="201" t="s">
        <v>541</v>
      </c>
      <c r="Y100" s="200"/>
      <c r="Z100" s="200"/>
      <c r="AA100" s="203"/>
      <c r="AB100" s="203"/>
      <c r="AC100" s="201" t="s">
        <v>1227</v>
      </c>
      <c r="AD100" s="200"/>
      <c r="AE100" s="201" t="s">
        <v>1228</v>
      </c>
      <c r="AF100" s="200" t="s">
        <v>563</v>
      </c>
      <c r="AG100" s="201" t="s">
        <v>114</v>
      </c>
      <c r="AH100" s="201" t="s">
        <v>570</v>
      </c>
    </row>
    <row r="101" spans="1:34" ht="14.25" customHeight="1">
      <c r="A101" s="196">
        <v>3745</v>
      </c>
      <c r="B101" s="197" t="s">
        <v>4</v>
      </c>
      <c r="C101" s="197" t="s">
        <v>390</v>
      </c>
      <c r="D101" s="197"/>
      <c r="E101" s="197" t="s">
        <v>151</v>
      </c>
      <c r="F101" s="198">
        <v>31804</v>
      </c>
      <c r="G101" s="197" t="s">
        <v>1229</v>
      </c>
      <c r="H101" s="198">
        <v>45466</v>
      </c>
      <c r="I101" s="198">
        <v>45200</v>
      </c>
      <c r="J101" s="197" t="s">
        <v>378</v>
      </c>
      <c r="K101" s="196" t="s">
        <v>112</v>
      </c>
      <c r="L101" s="197" t="s">
        <v>118</v>
      </c>
      <c r="M101" s="197" t="s">
        <v>561</v>
      </c>
      <c r="N101" s="197" t="s">
        <v>562</v>
      </c>
      <c r="O101" s="197" t="s">
        <v>118</v>
      </c>
      <c r="P101" s="197" t="s">
        <v>563</v>
      </c>
      <c r="Q101" s="197" t="s">
        <v>137</v>
      </c>
      <c r="R101" s="196"/>
      <c r="S101" s="197" t="s">
        <v>1230</v>
      </c>
      <c r="T101" s="197" t="s">
        <v>1065</v>
      </c>
      <c r="U101" s="197" t="s">
        <v>1231</v>
      </c>
      <c r="V101" s="197"/>
      <c r="W101" s="197"/>
      <c r="X101" s="197" t="s">
        <v>391</v>
      </c>
      <c r="Y101" s="196"/>
      <c r="Z101" s="196"/>
      <c r="AA101" s="199"/>
      <c r="AB101" s="199"/>
      <c r="AC101" s="197" t="s">
        <v>245</v>
      </c>
      <c r="AD101" s="197" t="s">
        <v>1232</v>
      </c>
      <c r="AE101" s="197" t="s">
        <v>1233</v>
      </c>
      <c r="AF101" s="196" t="s">
        <v>563</v>
      </c>
      <c r="AG101" s="197" t="s">
        <v>114</v>
      </c>
      <c r="AH101" s="197" t="s">
        <v>570</v>
      </c>
    </row>
    <row r="102" spans="1:34" ht="14.25" customHeight="1">
      <c r="A102" s="196">
        <v>3842</v>
      </c>
      <c r="B102" s="197" t="s">
        <v>6</v>
      </c>
      <c r="C102" s="197" t="s">
        <v>1234</v>
      </c>
      <c r="D102" s="197"/>
      <c r="E102" s="197" t="s">
        <v>151</v>
      </c>
      <c r="F102" s="198">
        <v>30941</v>
      </c>
      <c r="G102" s="197" t="s">
        <v>1235</v>
      </c>
      <c r="H102" s="198">
        <v>45508</v>
      </c>
      <c r="I102" s="198">
        <v>45508</v>
      </c>
      <c r="J102" s="197" t="s">
        <v>242</v>
      </c>
      <c r="K102" s="196" t="s">
        <v>112</v>
      </c>
      <c r="L102" s="197" t="s">
        <v>118</v>
      </c>
      <c r="M102" s="197" t="s">
        <v>561</v>
      </c>
      <c r="N102" s="197" t="s">
        <v>562</v>
      </c>
      <c r="O102" s="197" t="s">
        <v>118</v>
      </c>
      <c r="P102" s="197" t="s">
        <v>563</v>
      </c>
      <c r="Q102" s="197" t="s">
        <v>66</v>
      </c>
      <c r="R102" s="196"/>
      <c r="S102" s="197" t="s">
        <v>1236</v>
      </c>
      <c r="T102" s="197" t="s">
        <v>1204</v>
      </c>
      <c r="U102" s="197"/>
      <c r="V102" s="197"/>
      <c r="W102" s="197" t="s">
        <v>1237</v>
      </c>
      <c r="X102" s="197" t="s">
        <v>1238</v>
      </c>
      <c r="Y102" s="196"/>
      <c r="Z102" s="196"/>
      <c r="AA102" s="199"/>
      <c r="AB102" s="199"/>
      <c r="AC102" s="197" t="s">
        <v>1227</v>
      </c>
      <c r="AD102" s="196"/>
      <c r="AE102" s="197" t="s">
        <v>1239</v>
      </c>
      <c r="AF102" s="196" t="s">
        <v>563</v>
      </c>
      <c r="AG102" s="197" t="s">
        <v>114</v>
      </c>
      <c r="AH102" s="197" t="s">
        <v>570</v>
      </c>
    </row>
    <row r="103" spans="1:34" ht="14.25" customHeight="1">
      <c r="A103" s="200">
        <v>3843</v>
      </c>
      <c r="B103" s="201" t="s">
        <v>7</v>
      </c>
      <c r="C103" s="201" t="s">
        <v>1240</v>
      </c>
      <c r="D103" s="201"/>
      <c r="E103" s="201" t="s">
        <v>151</v>
      </c>
      <c r="F103" s="202">
        <v>37399</v>
      </c>
      <c r="G103" s="201" t="s">
        <v>1241</v>
      </c>
      <c r="H103" s="202">
        <v>45508</v>
      </c>
      <c r="I103" s="202">
        <v>45508</v>
      </c>
      <c r="J103" s="201" t="s">
        <v>242</v>
      </c>
      <c r="K103" s="200" t="s">
        <v>112</v>
      </c>
      <c r="L103" s="201" t="s">
        <v>118</v>
      </c>
      <c r="M103" s="201" t="s">
        <v>561</v>
      </c>
      <c r="N103" s="201" t="s">
        <v>591</v>
      </c>
      <c r="O103" s="201" t="s">
        <v>118</v>
      </c>
      <c r="P103" s="201" t="s">
        <v>563</v>
      </c>
      <c r="Q103" s="201" t="s">
        <v>66</v>
      </c>
      <c r="R103" s="200"/>
      <c r="S103" s="201" t="s">
        <v>1236</v>
      </c>
      <c r="T103" s="201" t="s">
        <v>1204</v>
      </c>
      <c r="U103" s="201"/>
      <c r="V103" s="201"/>
      <c r="W103" s="201" t="s">
        <v>1242</v>
      </c>
      <c r="X103" s="201" t="s">
        <v>507</v>
      </c>
      <c r="Y103" s="200"/>
      <c r="Z103" s="200"/>
      <c r="AA103" s="203"/>
      <c r="AB103" s="203"/>
      <c r="AC103" s="201" t="s">
        <v>1227</v>
      </c>
      <c r="AD103" s="200"/>
      <c r="AE103" s="201" t="s">
        <v>1243</v>
      </c>
      <c r="AF103" s="200" t="s">
        <v>563</v>
      </c>
      <c r="AG103" s="201" t="s">
        <v>114</v>
      </c>
      <c r="AH103" s="201" t="s">
        <v>570</v>
      </c>
    </row>
    <row r="104" spans="1:34" ht="14.25" customHeight="1">
      <c r="A104" s="196">
        <v>3844</v>
      </c>
      <c r="B104" s="197" t="s">
        <v>6</v>
      </c>
      <c r="C104" s="197" t="s">
        <v>486</v>
      </c>
      <c r="D104" s="197"/>
      <c r="E104" s="197" t="s">
        <v>151</v>
      </c>
      <c r="F104" s="198">
        <v>31859</v>
      </c>
      <c r="G104" s="197" t="s">
        <v>1244</v>
      </c>
      <c r="H104" s="198">
        <v>45508</v>
      </c>
      <c r="I104" s="198">
        <v>45508</v>
      </c>
      <c r="J104" s="197" t="s">
        <v>242</v>
      </c>
      <c r="K104" s="196" t="s">
        <v>112</v>
      </c>
      <c r="L104" s="197" t="s">
        <v>118</v>
      </c>
      <c r="M104" s="197" t="s">
        <v>971</v>
      </c>
      <c r="N104" s="197" t="s">
        <v>562</v>
      </c>
      <c r="O104" s="197" t="s">
        <v>118</v>
      </c>
      <c r="P104" s="197" t="s">
        <v>563</v>
      </c>
      <c r="Q104" s="197" t="s">
        <v>66</v>
      </c>
      <c r="R104" s="196"/>
      <c r="S104" s="197" t="s">
        <v>1236</v>
      </c>
      <c r="T104" s="197" t="s">
        <v>1204</v>
      </c>
      <c r="U104" s="197"/>
      <c r="V104" s="197"/>
      <c r="W104" s="197"/>
      <c r="X104" s="197" t="s">
        <v>1245</v>
      </c>
      <c r="Y104" s="196"/>
      <c r="Z104" s="196"/>
      <c r="AA104" s="199"/>
      <c r="AB104" s="199"/>
      <c r="AC104" s="197" t="s">
        <v>1227</v>
      </c>
      <c r="AD104" s="196"/>
      <c r="AE104" s="197" t="s">
        <v>1246</v>
      </c>
      <c r="AF104" s="196" t="s">
        <v>563</v>
      </c>
      <c r="AG104" s="197" t="s">
        <v>114</v>
      </c>
      <c r="AH104" s="197" t="s">
        <v>570</v>
      </c>
    </row>
    <row r="105" spans="1:34" ht="14.25" customHeight="1">
      <c r="A105" s="196">
        <v>3846</v>
      </c>
      <c r="B105" s="197" t="s">
        <v>7</v>
      </c>
      <c r="C105" s="197" t="s">
        <v>1247</v>
      </c>
      <c r="D105" s="197"/>
      <c r="E105" s="197" t="s">
        <v>151</v>
      </c>
      <c r="F105" s="198">
        <v>35521</v>
      </c>
      <c r="G105" s="197" t="s">
        <v>1248</v>
      </c>
      <c r="H105" s="198">
        <v>45508</v>
      </c>
      <c r="I105" s="198">
        <v>45508</v>
      </c>
      <c r="J105" s="197" t="s">
        <v>242</v>
      </c>
      <c r="K105" s="196" t="s">
        <v>112</v>
      </c>
      <c r="L105" s="197" t="s">
        <v>118</v>
      </c>
      <c r="M105" s="197" t="s">
        <v>561</v>
      </c>
      <c r="N105" s="197" t="s">
        <v>591</v>
      </c>
      <c r="O105" s="197" t="s">
        <v>118</v>
      </c>
      <c r="P105" s="197" t="s">
        <v>563</v>
      </c>
      <c r="Q105" s="197" t="s">
        <v>66</v>
      </c>
      <c r="R105" s="196"/>
      <c r="S105" s="197" t="s">
        <v>1236</v>
      </c>
      <c r="T105" s="197" t="s">
        <v>1204</v>
      </c>
      <c r="U105" s="197"/>
      <c r="V105" s="197"/>
      <c r="W105" s="197"/>
      <c r="X105" s="197" t="s">
        <v>529</v>
      </c>
      <c r="Y105" s="196"/>
      <c r="Z105" s="196"/>
      <c r="AA105" s="199"/>
      <c r="AB105" s="199"/>
      <c r="AC105" s="197" t="s">
        <v>1227</v>
      </c>
      <c r="AD105" s="196"/>
      <c r="AE105" s="197" t="s">
        <v>1249</v>
      </c>
      <c r="AF105" s="196" t="s">
        <v>563</v>
      </c>
      <c r="AG105" s="197" t="s">
        <v>114</v>
      </c>
      <c r="AH105" s="197" t="s">
        <v>570</v>
      </c>
    </row>
    <row r="106" spans="1:34" ht="14.25" customHeight="1">
      <c r="A106" s="200">
        <v>3847</v>
      </c>
      <c r="B106" s="201" t="s">
        <v>7</v>
      </c>
      <c r="C106" s="201" t="s">
        <v>1250</v>
      </c>
      <c r="D106" s="201"/>
      <c r="E106" s="201" t="s">
        <v>151</v>
      </c>
      <c r="F106" s="202">
        <v>33141</v>
      </c>
      <c r="G106" s="201" t="s">
        <v>1251</v>
      </c>
      <c r="H106" s="202">
        <v>45508</v>
      </c>
      <c r="I106" s="202">
        <v>45508</v>
      </c>
      <c r="J106" s="201" t="s">
        <v>242</v>
      </c>
      <c r="K106" s="200" t="s">
        <v>112</v>
      </c>
      <c r="L106" s="201" t="s">
        <v>118</v>
      </c>
      <c r="M106" s="201" t="s">
        <v>561</v>
      </c>
      <c r="N106" s="201" t="s">
        <v>562</v>
      </c>
      <c r="O106" s="201" t="s">
        <v>118</v>
      </c>
      <c r="P106" s="201" t="s">
        <v>563</v>
      </c>
      <c r="Q106" s="201" t="s">
        <v>66</v>
      </c>
      <c r="R106" s="200"/>
      <c r="S106" s="201" t="s">
        <v>1236</v>
      </c>
      <c r="T106" s="201" t="s">
        <v>1204</v>
      </c>
      <c r="U106" s="201"/>
      <c r="V106" s="201"/>
      <c r="W106" s="201"/>
      <c r="X106" s="201" t="s">
        <v>536</v>
      </c>
      <c r="Y106" s="200"/>
      <c r="Z106" s="200"/>
      <c r="AA106" s="203"/>
      <c r="AB106" s="203"/>
      <c r="AC106" s="201" t="s">
        <v>1227</v>
      </c>
      <c r="AD106" s="200"/>
      <c r="AE106" s="201" t="s">
        <v>1252</v>
      </c>
      <c r="AF106" s="200" t="s">
        <v>563</v>
      </c>
      <c r="AG106" s="201" t="s">
        <v>114</v>
      </c>
      <c r="AH106" s="201" t="s">
        <v>570</v>
      </c>
    </row>
    <row r="107" spans="1:34" ht="14.25" customHeight="1">
      <c r="A107" s="196">
        <v>3890</v>
      </c>
      <c r="B107" s="197" t="s">
        <v>6</v>
      </c>
      <c r="C107" s="197" t="s">
        <v>1253</v>
      </c>
      <c r="D107" s="197"/>
      <c r="E107" s="197" t="s">
        <v>151</v>
      </c>
      <c r="F107" s="198">
        <v>34243</v>
      </c>
      <c r="G107" s="197" t="s">
        <v>1254</v>
      </c>
      <c r="H107" s="198">
        <v>45510</v>
      </c>
      <c r="I107" s="198">
        <v>45508</v>
      </c>
      <c r="J107" s="197" t="s">
        <v>242</v>
      </c>
      <c r="K107" s="196" t="s">
        <v>112</v>
      </c>
      <c r="L107" s="197" t="s">
        <v>118</v>
      </c>
      <c r="M107" s="197" t="s">
        <v>561</v>
      </c>
      <c r="N107" s="197" t="s">
        <v>562</v>
      </c>
      <c r="O107" s="197" t="s">
        <v>118</v>
      </c>
      <c r="P107" s="197" t="s">
        <v>563</v>
      </c>
      <c r="Q107" s="197" t="s">
        <v>66</v>
      </c>
      <c r="R107" s="196"/>
      <c r="S107" s="197" t="s">
        <v>1236</v>
      </c>
      <c r="T107" s="197" t="s">
        <v>1204</v>
      </c>
      <c r="U107" s="197" t="s">
        <v>1255</v>
      </c>
      <c r="V107" s="197"/>
      <c r="W107" s="197"/>
      <c r="X107" s="197" t="s">
        <v>1256</v>
      </c>
      <c r="Y107" s="196"/>
      <c r="Z107" s="196"/>
      <c r="AA107" s="199"/>
      <c r="AB107" s="199"/>
      <c r="AC107" s="197" t="s">
        <v>1227</v>
      </c>
      <c r="AD107" s="196"/>
      <c r="AE107" s="197" t="s">
        <v>1257</v>
      </c>
      <c r="AF107" s="196" t="s">
        <v>563</v>
      </c>
      <c r="AG107" s="197" t="s">
        <v>114</v>
      </c>
      <c r="AH107" s="197" t="s">
        <v>570</v>
      </c>
    </row>
    <row r="108" spans="1:34" ht="14.25" customHeight="1">
      <c r="A108" s="200">
        <v>3939</v>
      </c>
      <c r="B108" s="201" t="s">
        <v>4</v>
      </c>
      <c r="C108" s="201" t="s">
        <v>1258</v>
      </c>
      <c r="D108" s="201"/>
      <c r="E108" s="201" t="s">
        <v>151</v>
      </c>
      <c r="F108" s="202">
        <v>36356</v>
      </c>
      <c r="G108" s="201" t="s">
        <v>1259</v>
      </c>
      <c r="H108" s="202">
        <v>45517</v>
      </c>
      <c r="I108" s="202">
        <v>45508</v>
      </c>
      <c r="J108" s="201" t="s">
        <v>242</v>
      </c>
      <c r="K108" s="200" t="s">
        <v>112</v>
      </c>
      <c r="L108" s="201" t="s">
        <v>118</v>
      </c>
      <c r="M108" s="201" t="s">
        <v>561</v>
      </c>
      <c r="N108" s="201" t="s">
        <v>562</v>
      </c>
      <c r="O108" s="201" t="s">
        <v>118</v>
      </c>
      <c r="P108" s="201" t="s">
        <v>563</v>
      </c>
      <c r="Q108" s="201" t="s">
        <v>66</v>
      </c>
      <c r="R108" s="200"/>
      <c r="S108" s="201" t="s">
        <v>1236</v>
      </c>
      <c r="T108" s="201" t="s">
        <v>1204</v>
      </c>
      <c r="U108" s="201" t="s">
        <v>1260</v>
      </c>
      <c r="V108" s="201"/>
      <c r="W108" s="201"/>
      <c r="X108" s="201" t="s">
        <v>493</v>
      </c>
      <c r="Y108" s="200"/>
      <c r="Z108" s="200"/>
      <c r="AA108" s="203"/>
      <c r="AB108" s="203"/>
      <c r="AC108" s="201" t="s">
        <v>1227</v>
      </c>
      <c r="AD108" s="200"/>
      <c r="AE108" s="201" t="s">
        <v>1261</v>
      </c>
      <c r="AF108" s="200" t="s">
        <v>563</v>
      </c>
      <c r="AG108" s="201" t="s">
        <v>114</v>
      </c>
      <c r="AH108" s="201" t="s">
        <v>570</v>
      </c>
    </row>
    <row r="109" spans="1:34" ht="14.25" customHeight="1">
      <c r="A109" s="196">
        <v>3948</v>
      </c>
      <c r="B109" s="197" t="s">
        <v>4</v>
      </c>
      <c r="C109" s="197" t="s">
        <v>1262</v>
      </c>
      <c r="D109" s="197"/>
      <c r="E109" s="197" t="s">
        <v>151</v>
      </c>
      <c r="F109" s="198">
        <v>27693</v>
      </c>
      <c r="G109" s="197" t="s">
        <v>1263</v>
      </c>
      <c r="H109" s="198">
        <v>45508</v>
      </c>
      <c r="I109" s="198">
        <v>45508</v>
      </c>
      <c r="J109" s="197" t="s">
        <v>378</v>
      </c>
      <c r="K109" s="196" t="s">
        <v>112</v>
      </c>
      <c r="L109" s="197" t="s">
        <v>118</v>
      </c>
      <c r="M109" s="197" t="s">
        <v>561</v>
      </c>
      <c r="N109" s="197" t="s">
        <v>562</v>
      </c>
      <c r="O109" s="197" t="s">
        <v>118</v>
      </c>
      <c r="P109" s="197" t="s">
        <v>563</v>
      </c>
      <c r="Q109" s="197" t="s">
        <v>71</v>
      </c>
      <c r="R109" s="196"/>
      <c r="S109" s="197" t="s">
        <v>1236</v>
      </c>
      <c r="T109" s="197" t="s">
        <v>1204</v>
      </c>
      <c r="U109" s="197" t="s">
        <v>1264</v>
      </c>
      <c r="V109" s="197"/>
      <c r="W109" s="197"/>
      <c r="X109" s="197" t="s">
        <v>1265</v>
      </c>
      <c r="Y109" s="196"/>
      <c r="Z109" s="196"/>
      <c r="AA109" s="199"/>
      <c r="AB109" s="199"/>
      <c r="AC109" s="197" t="s">
        <v>245</v>
      </c>
      <c r="AD109" s="197" t="s">
        <v>1266</v>
      </c>
      <c r="AE109" s="197" t="s">
        <v>1267</v>
      </c>
      <c r="AF109" s="196" t="s">
        <v>563</v>
      </c>
      <c r="AG109" s="197" t="s">
        <v>114</v>
      </c>
      <c r="AH109" s="197" t="s">
        <v>570</v>
      </c>
    </row>
    <row r="110" spans="1:34" ht="14.25" customHeight="1">
      <c r="A110" s="196">
        <v>3958</v>
      </c>
      <c r="B110" s="197" t="s">
        <v>6</v>
      </c>
      <c r="C110" s="197" t="s">
        <v>1268</v>
      </c>
      <c r="D110" s="197"/>
      <c r="E110" s="197" t="s">
        <v>151</v>
      </c>
      <c r="F110" s="198">
        <v>32630</v>
      </c>
      <c r="G110" s="197" t="s">
        <v>1269</v>
      </c>
      <c r="H110" s="198">
        <v>45522</v>
      </c>
      <c r="I110" s="198">
        <v>45508</v>
      </c>
      <c r="J110" s="197" t="s">
        <v>242</v>
      </c>
      <c r="K110" s="196" t="s">
        <v>112</v>
      </c>
      <c r="L110" s="197" t="s">
        <v>118</v>
      </c>
      <c r="M110" s="197" t="s">
        <v>971</v>
      </c>
      <c r="N110" s="197" t="s">
        <v>562</v>
      </c>
      <c r="O110" s="197" t="s">
        <v>118</v>
      </c>
      <c r="P110" s="197" t="s">
        <v>563</v>
      </c>
      <c r="Q110" s="197" t="s">
        <v>66</v>
      </c>
      <c r="R110" s="196"/>
      <c r="S110" s="197" t="s">
        <v>1236</v>
      </c>
      <c r="T110" s="197" t="s">
        <v>1204</v>
      </c>
      <c r="U110" s="197" t="s">
        <v>1270</v>
      </c>
      <c r="V110" s="197"/>
      <c r="W110" s="197"/>
      <c r="X110" s="197" t="s">
        <v>1271</v>
      </c>
      <c r="Y110" s="196"/>
      <c r="Z110" s="196"/>
      <c r="AA110" s="199"/>
      <c r="AB110" s="199"/>
      <c r="AC110" s="197" t="s">
        <v>1227</v>
      </c>
      <c r="AD110" s="196"/>
      <c r="AE110" s="197" t="s">
        <v>1272</v>
      </c>
      <c r="AF110" s="196" t="s">
        <v>563</v>
      </c>
      <c r="AG110" s="197" t="s">
        <v>114</v>
      </c>
      <c r="AH110" s="197" t="s">
        <v>570</v>
      </c>
    </row>
    <row r="111" spans="1:34" ht="14.25" customHeight="1">
      <c r="A111" s="196">
        <v>3978</v>
      </c>
      <c r="B111" s="197" t="s">
        <v>7</v>
      </c>
      <c r="C111" s="197" t="s">
        <v>1273</v>
      </c>
      <c r="D111" s="197"/>
      <c r="E111" s="197" t="s">
        <v>151</v>
      </c>
      <c r="F111" s="198">
        <v>36580</v>
      </c>
      <c r="G111" s="197" t="s">
        <v>1274</v>
      </c>
      <c r="H111" s="198">
        <v>45518</v>
      </c>
      <c r="I111" s="198">
        <v>45518</v>
      </c>
      <c r="J111" s="197" t="s">
        <v>258</v>
      </c>
      <c r="K111" s="196" t="s">
        <v>112</v>
      </c>
      <c r="L111" s="197" t="s">
        <v>113</v>
      </c>
      <c r="M111" s="197" t="s">
        <v>561</v>
      </c>
      <c r="N111" s="197" t="s">
        <v>562</v>
      </c>
      <c r="O111" s="197" t="s">
        <v>113</v>
      </c>
      <c r="P111" s="197" t="s">
        <v>563</v>
      </c>
      <c r="Q111" s="197" t="s">
        <v>66</v>
      </c>
      <c r="R111" s="196"/>
      <c r="S111" s="197" t="s">
        <v>1275</v>
      </c>
      <c r="T111" s="197" t="s">
        <v>1204</v>
      </c>
      <c r="U111" s="197" t="s">
        <v>1276</v>
      </c>
      <c r="V111" s="197"/>
      <c r="W111" s="197"/>
      <c r="X111" s="197" t="s">
        <v>534</v>
      </c>
      <c r="Y111" s="196"/>
      <c r="Z111" s="196"/>
      <c r="AA111" s="199"/>
      <c r="AB111" s="199"/>
      <c r="AC111" s="197" t="s">
        <v>245</v>
      </c>
      <c r="AD111" s="197" t="s">
        <v>1277</v>
      </c>
      <c r="AE111" s="197" t="s">
        <v>1278</v>
      </c>
      <c r="AF111" s="196" t="s">
        <v>563</v>
      </c>
      <c r="AG111" s="197" t="s">
        <v>114</v>
      </c>
      <c r="AH111" s="197" t="s">
        <v>570</v>
      </c>
    </row>
    <row r="112" spans="1:34" ht="14.25" customHeight="1">
      <c r="A112" s="200">
        <v>3979</v>
      </c>
      <c r="B112" s="201" t="s">
        <v>4</v>
      </c>
      <c r="C112" s="201" t="s">
        <v>404</v>
      </c>
      <c r="D112" s="201"/>
      <c r="E112" s="201" t="s">
        <v>151</v>
      </c>
      <c r="F112" s="202">
        <v>34732</v>
      </c>
      <c r="G112" s="201" t="s">
        <v>1279</v>
      </c>
      <c r="H112" s="202">
        <v>45515</v>
      </c>
      <c r="I112" s="202">
        <v>45515</v>
      </c>
      <c r="J112" s="201" t="s">
        <v>258</v>
      </c>
      <c r="K112" s="200" t="s">
        <v>112</v>
      </c>
      <c r="L112" s="201" t="s">
        <v>113</v>
      </c>
      <c r="M112" s="201" t="s">
        <v>561</v>
      </c>
      <c r="N112" s="201" t="s">
        <v>591</v>
      </c>
      <c r="O112" s="201" t="s">
        <v>113</v>
      </c>
      <c r="P112" s="201" t="s">
        <v>563</v>
      </c>
      <c r="Q112" s="201" t="s">
        <v>66</v>
      </c>
      <c r="R112" s="200"/>
      <c r="S112" s="201" t="s">
        <v>1280</v>
      </c>
      <c r="T112" s="201" t="s">
        <v>1204</v>
      </c>
      <c r="U112" s="201" t="s">
        <v>1281</v>
      </c>
      <c r="V112" s="201"/>
      <c r="W112" s="201"/>
      <c r="X112" s="201" t="s">
        <v>532</v>
      </c>
      <c r="Y112" s="200"/>
      <c r="Z112" s="200"/>
      <c r="AA112" s="203"/>
      <c r="AB112" s="203"/>
      <c r="AC112" s="201" t="s">
        <v>245</v>
      </c>
      <c r="AD112" s="201" t="s">
        <v>1282</v>
      </c>
      <c r="AE112" s="201" t="s">
        <v>1283</v>
      </c>
      <c r="AF112" s="200" t="s">
        <v>563</v>
      </c>
      <c r="AG112" s="201" t="s">
        <v>114</v>
      </c>
      <c r="AH112" s="201" t="s">
        <v>570</v>
      </c>
    </row>
    <row r="113" spans="1:34" ht="14.25" customHeight="1">
      <c r="A113" s="200">
        <v>3981</v>
      </c>
      <c r="B113" s="201" t="s">
        <v>7</v>
      </c>
      <c r="C113" s="201" t="s">
        <v>1284</v>
      </c>
      <c r="D113" s="201"/>
      <c r="E113" s="201" t="s">
        <v>151</v>
      </c>
      <c r="F113" s="202">
        <v>36631</v>
      </c>
      <c r="G113" s="201" t="s">
        <v>1285</v>
      </c>
      <c r="H113" s="202">
        <v>45515</v>
      </c>
      <c r="I113" s="202">
        <v>45515</v>
      </c>
      <c r="J113" s="201" t="s">
        <v>258</v>
      </c>
      <c r="K113" s="200" t="s">
        <v>112</v>
      </c>
      <c r="L113" s="201" t="s">
        <v>113</v>
      </c>
      <c r="M113" s="201" t="s">
        <v>561</v>
      </c>
      <c r="N113" s="201" t="s">
        <v>591</v>
      </c>
      <c r="O113" s="201" t="s">
        <v>113</v>
      </c>
      <c r="P113" s="201" t="s">
        <v>563</v>
      </c>
      <c r="Q113" s="201" t="s">
        <v>66</v>
      </c>
      <c r="R113" s="200"/>
      <c r="S113" s="201" t="s">
        <v>1280</v>
      </c>
      <c r="T113" s="201" t="s">
        <v>1204</v>
      </c>
      <c r="U113" s="201" t="s">
        <v>1286</v>
      </c>
      <c r="V113" s="201"/>
      <c r="W113" s="201"/>
      <c r="X113" s="201" t="s">
        <v>1287</v>
      </c>
      <c r="Y113" s="200"/>
      <c r="Z113" s="200"/>
      <c r="AA113" s="203"/>
      <c r="AB113" s="203"/>
      <c r="AC113" s="201" t="s">
        <v>245</v>
      </c>
      <c r="AD113" s="201" t="s">
        <v>1288</v>
      </c>
      <c r="AE113" s="201" t="s">
        <v>1289</v>
      </c>
      <c r="AF113" s="200" t="s">
        <v>563</v>
      </c>
      <c r="AG113" s="201" t="s">
        <v>114</v>
      </c>
      <c r="AH113" s="201" t="s">
        <v>570</v>
      </c>
    </row>
    <row r="114" spans="1:34" ht="14.25" customHeight="1">
      <c r="A114" s="207">
        <v>4058</v>
      </c>
      <c r="B114" s="208" t="s">
        <v>6</v>
      </c>
      <c r="C114" s="208" t="s">
        <v>1290</v>
      </c>
      <c r="D114" s="209" t="s">
        <v>1291</v>
      </c>
      <c r="E114" s="200"/>
      <c r="F114" s="202">
        <v>32174</v>
      </c>
      <c r="G114" s="201" t="s">
        <v>1292</v>
      </c>
      <c r="H114" s="202">
        <v>45508</v>
      </c>
      <c r="I114" s="202">
        <v>45508</v>
      </c>
      <c r="J114" s="201" t="s">
        <v>242</v>
      </c>
      <c r="K114" s="200" t="s">
        <v>112</v>
      </c>
      <c r="L114" s="201" t="s">
        <v>118</v>
      </c>
      <c r="M114" s="201" t="s">
        <v>561</v>
      </c>
      <c r="N114" s="201" t="s">
        <v>562</v>
      </c>
      <c r="O114" s="201" t="s">
        <v>118</v>
      </c>
      <c r="P114" s="201" t="s">
        <v>563</v>
      </c>
      <c r="Q114" s="201" t="s">
        <v>66</v>
      </c>
      <c r="R114" s="200"/>
      <c r="S114" s="201" t="s">
        <v>1236</v>
      </c>
      <c r="T114" s="201" t="s">
        <v>1204</v>
      </c>
      <c r="U114" s="201"/>
      <c r="V114" s="201"/>
      <c r="W114" s="201"/>
      <c r="X114" s="201" t="s">
        <v>1293</v>
      </c>
      <c r="Y114" s="200"/>
      <c r="Z114" s="200"/>
      <c r="AA114" s="203"/>
      <c r="AB114" s="203"/>
      <c r="AC114" s="201" t="s">
        <v>1227</v>
      </c>
      <c r="AD114" s="200"/>
      <c r="AE114" s="201" t="s">
        <v>1294</v>
      </c>
      <c r="AF114" s="200" t="s">
        <v>563</v>
      </c>
      <c r="AG114" s="201" t="s">
        <v>114</v>
      </c>
      <c r="AH114" s="201" t="s">
        <v>570</v>
      </c>
    </row>
    <row r="115" spans="1:34">
      <c r="A115" s="210">
        <v>3077</v>
      </c>
      <c r="B115" s="211"/>
      <c r="C115" s="211" t="s">
        <v>401</v>
      </c>
      <c r="D115" s="212" t="s">
        <v>1295</v>
      </c>
    </row>
    <row r="116" spans="1:34">
      <c r="A116" s="210">
        <v>4105</v>
      </c>
      <c r="B116" s="211"/>
      <c r="C116" s="211" t="s">
        <v>535</v>
      </c>
      <c r="D116" s="212" t="s">
        <v>1295</v>
      </c>
    </row>
    <row r="117" spans="1:34">
      <c r="A117" s="210">
        <v>4073</v>
      </c>
      <c r="B117" s="211"/>
      <c r="C117" s="211" t="s">
        <v>426</v>
      </c>
      <c r="D117" s="212" t="s">
        <v>1296</v>
      </c>
      <c r="H117" s="213">
        <v>45517</v>
      </c>
    </row>
    <row r="118" spans="1:34">
      <c r="A118" s="210">
        <v>3838</v>
      </c>
      <c r="B118" s="211"/>
      <c r="C118" s="211" t="s">
        <v>427</v>
      </c>
      <c r="D118" s="212" t="s">
        <v>1297</v>
      </c>
    </row>
    <row r="119" spans="1:34">
      <c r="A119" s="210">
        <v>3406</v>
      </c>
      <c r="B119" s="211"/>
      <c r="C119" s="211" t="s">
        <v>1298</v>
      </c>
      <c r="D119" s="212" t="s">
        <v>1299</v>
      </c>
    </row>
    <row r="120" spans="1:34">
      <c r="A120" s="210">
        <v>3741</v>
      </c>
      <c r="B120" s="211"/>
      <c r="C120" s="211" t="s">
        <v>1300</v>
      </c>
      <c r="D120" s="212" t="s">
        <v>1301</v>
      </c>
    </row>
    <row r="121" spans="1:34">
      <c r="A121" s="210">
        <v>3748</v>
      </c>
      <c r="B121" s="211"/>
      <c r="C121" s="211" t="s">
        <v>1302</v>
      </c>
      <c r="D121" s="212" t="s">
        <v>1301</v>
      </c>
    </row>
    <row r="122" spans="1:34">
      <c r="A122" s="210">
        <v>3751</v>
      </c>
      <c r="B122" s="211"/>
      <c r="C122" s="211" t="s">
        <v>1303</v>
      </c>
      <c r="D122" s="212" t="s">
        <v>1301</v>
      </c>
    </row>
    <row r="123" spans="1:34">
      <c r="A123" s="210">
        <v>3742</v>
      </c>
      <c r="B123" s="211"/>
      <c r="C123" s="211" t="s">
        <v>1304</v>
      </c>
      <c r="D123" s="212" t="s">
        <v>1301</v>
      </c>
    </row>
    <row r="124" spans="1:34">
      <c r="A124" s="210">
        <v>3746</v>
      </c>
      <c r="B124" s="211"/>
      <c r="C124" s="211" t="s">
        <v>1305</v>
      </c>
      <c r="D124" s="212" t="s">
        <v>1301</v>
      </c>
    </row>
    <row r="125" spans="1:34" s="27" customFormat="1" ht="14.25" customHeight="1">
      <c r="A125" s="166" t="s">
        <v>148</v>
      </c>
      <c r="B125" s="166" t="s">
        <v>237</v>
      </c>
      <c r="C125" s="166" t="s">
        <v>149</v>
      </c>
      <c r="D125" s="166" t="s">
        <v>115</v>
      </c>
      <c r="E125" s="166" t="s">
        <v>238</v>
      </c>
      <c r="F125" s="166" t="s">
        <v>239</v>
      </c>
      <c r="G125" s="167">
        <v>25659</v>
      </c>
      <c r="H125" s="167">
        <v>43703</v>
      </c>
      <c r="I125" s="167">
        <v>43703</v>
      </c>
      <c r="J125" s="166" t="s">
        <v>247</v>
      </c>
      <c r="K125" s="166" t="s">
        <v>248</v>
      </c>
      <c r="L125" s="166" t="s">
        <v>240</v>
      </c>
      <c r="M125" s="166" t="s">
        <v>241</v>
      </c>
      <c r="N125" s="166" t="s">
        <v>150</v>
      </c>
      <c r="O125" s="166" t="s">
        <v>242</v>
      </c>
      <c r="P125" s="166" t="s">
        <v>374</v>
      </c>
      <c r="Q125" s="166" t="s">
        <v>118</v>
      </c>
      <c r="R125" s="166" t="s">
        <v>243</v>
      </c>
      <c r="S125" s="166" t="s">
        <v>244</v>
      </c>
      <c r="T125" s="166" t="s">
        <v>245</v>
      </c>
      <c r="U125" s="168"/>
      <c r="V125" s="166" t="s">
        <v>246</v>
      </c>
      <c r="W125" s="168">
        <v>0</v>
      </c>
      <c r="X125" s="166" t="s">
        <v>119</v>
      </c>
      <c r="Y125" s="166" t="s">
        <v>112</v>
      </c>
      <c r="Z125" s="168"/>
      <c r="AA125" s="166" t="s">
        <v>114</v>
      </c>
      <c r="AB125" s="166" t="s">
        <v>5</v>
      </c>
      <c r="AC125" s="168"/>
      <c r="AD125" s="166" t="s">
        <v>211</v>
      </c>
      <c r="AE125" s="168">
        <v>54</v>
      </c>
      <c r="AF125" s="166" t="s">
        <v>153</v>
      </c>
      <c r="AG125" s="168">
        <v>53</v>
      </c>
    </row>
    <row r="126" spans="1:34" s="27" customFormat="1" ht="14.25" customHeight="1">
      <c r="A126" s="166" t="s">
        <v>125</v>
      </c>
      <c r="B126" s="166" t="s">
        <v>237</v>
      </c>
      <c r="C126" s="166" t="s">
        <v>7</v>
      </c>
      <c r="D126" s="166" t="s">
        <v>115</v>
      </c>
      <c r="E126" s="166" t="s">
        <v>249</v>
      </c>
      <c r="F126" s="166" t="s">
        <v>124</v>
      </c>
      <c r="G126" s="167">
        <v>34249</v>
      </c>
      <c r="H126" s="167">
        <v>43377</v>
      </c>
      <c r="I126" s="167">
        <v>43377</v>
      </c>
      <c r="J126" s="166" t="s">
        <v>251</v>
      </c>
      <c r="K126" s="166" t="s">
        <v>252</v>
      </c>
      <c r="L126" s="166" t="s">
        <v>240</v>
      </c>
      <c r="M126" s="166" t="s">
        <v>241</v>
      </c>
      <c r="N126" s="166" t="s">
        <v>66</v>
      </c>
      <c r="O126" s="166" t="s">
        <v>242</v>
      </c>
      <c r="P126" s="166" t="s">
        <v>374</v>
      </c>
      <c r="Q126" s="166" t="s">
        <v>118</v>
      </c>
      <c r="R126" s="166" t="s">
        <v>250</v>
      </c>
      <c r="S126" s="166" t="s">
        <v>244</v>
      </c>
      <c r="T126" s="166" t="s">
        <v>245</v>
      </c>
      <c r="U126" s="168"/>
      <c r="V126" s="166" t="s">
        <v>246</v>
      </c>
      <c r="W126" s="168">
        <v>0</v>
      </c>
      <c r="X126" s="166" t="s">
        <v>119</v>
      </c>
      <c r="Y126" s="166" t="s">
        <v>112</v>
      </c>
      <c r="Z126" s="168"/>
      <c r="AA126" s="166" t="s">
        <v>114</v>
      </c>
      <c r="AB126" s="166" t="s">
        <v>5</v>
      </c>
      <c r="AC126" s="168"/>
      <c r="AD126" s="166" t="s">
        <v>211</v>
      </c>
      <c r="AE126" s="168">
        <v>31</v>
      </c>
      <c r="AF126" s="166" t="s">
        <v>153</v>
      </c>
      <c r="AG126" s="168">
        <v>31</v>
      </c>
    </row>
    <row r="127" spans="1:34" s="27" customFormat="1" ht="14.25" customHeight="1">
      <c r="A127" s="166" t="s">
        <v>92</v>
      </c>
      <c r="B127" s="166" t="s">
        <v>237</v>
      </c>
      <c r="C127" s="166" t="s">
        <v>6</v>
      </c>
      <c r="D127" s="166" t="s">
        <v>115</v>
      </c>
      <c r="E127" s="166" t="s">
        <v>253</v>
      </c>
      <c r="F127" s="166" t="s">
        <v>123</v>
      </c>
      <c r="G127" s="167">
        <v>26112</v>
      </c>
      <c r="H127" s="167">
        <v>42064</v>
      </c>
      <c r="I127" s="167">
        <v>42064</v>
      </c>
      <c r="J127" s="166" t="s">
        <v>255</v>
      </c>
      <c r="K127" s="166" t="s">
        <v>256</v>
      </c>
      <c r="L127" s="166" t="s">
        <v>240</v>
      </c>
      <c r="M127" s="166" t="s">
        <v>241</v>
      </c>
      <c r="N127" s="166" t="s">
        <v>66</v>
      </c>
      <c r="O127" s="166" t="s">
        <v>242</v>
      </c>
      <c r="P127" s="166" t="s">
        <v>374</v>
      </c>
      <c r="Q127" s="166" t="s">
        <v>118</v>
      </c>
      <c r="R127" s="166" t="s">
        <v>254</v>
      </c>
      <c r="S127" s="166" t="s">
        <v>244</v>
      </c>
      <c r="T127" s="166" t="s">
        <v>245</v>
      </c>
      <c r="U127" s="168"/>
      <c r="V127" s="166" t="s">
        <v>246</v>
      </c>
      <c r="W127" s="168">
        <v>0</v>
      </c>
      <c r="X127" s="166" t="s">
        <v>119</v>
      </c>
      <c r="Y127" s="166" t="s">
        <v>112</v>
      </c>
      <c r="Z127" s="168"/>
      <c r="AA127" s="166" t="s">
        <v>114</v>
      </c>
      <c r="AB127" s="166" t="s">
        <v>5</v>
      </c>
      <c r="AC127" s="168"/>
      <c r="AD127" s="166" t="s">
        <v>211</v>
      </c>
      <c r="AE127" s="168">
        <v>53</v>
      </c>
      <c r="AF127" s="166" t="s">
        <v>153</v>
      </c>
      <c r="AG127" s="168">
        <v>52</v>
      </c>
    </row>
    <row r="128" spans="1:34" s="27" customFormat="1" ht="14.25" customHeight="1">
      <c r="A128" s="166" t="s">
        <v>90</v>
      </c>
      <c r="B128" s="166" t="s">
        <v>237</v>
      </c>
      <c r="C128" s="166" t="s">
        <v>6</v>
      </c>
      <c r="D128" s="166" t="s">
        <v>115</v>
      </c>
      <c r="E128" s="166" t="s">
        <v>257</v>
      </c>
      <c r="F128" s="166" t="s">
        <v>127</v>
      </c>
      <c r="G128" s="167">
        <v>33801</v>
      </c>
      <c r="H128" s="167">
        <v>44501</v>
      </c>
      <c r="I128" s="167">
        <v>44501</v>
      </c>
      <c r="J128" s="166" t="s">
        <v>260</v>
      </c>
      <c r="K128" s="166" t="s">
        <v>261</v>
      </c>
      <c r="L128" s="166" t="s">
        <v>240</v>
      </c>
      <c r="M128" s="166" t="s">
        <v>241</v>
      </c>
      <c r="N128" s="166" t="s">
        <v>66</v>
      </c>
      <c r="O128" s="166" t="s">
        <v>258</v>
      </c>
      <c r="P128" s="166" t="s">
        <v>374</v>
      </c>
      <c r="Q128" s="166" t="s">
        <v>113</v>
      </c>
      <c r="R128" s="166" t="s">
        <v>259</v>
      </c>
      <c r="S128" s="166" t="s">
        <v>244</v>
      </c>
      <c r="T128" s="166" t="s">
        <v>245</v>
      </c>
      <c r="U128" s="168"/>
      <c r="V128" s="166" t="s">
        <v>246</v>
      </c>
      <c r="W128" s="168">
        <v>0</v>
      </c>
      <c r="X128" s="166" t="s">
        <v>119</v>
      </c>
      <c r="Y128" s="166" t="s">
        <v>112</v>
      </c>
      <c r="Z128" s="168"/>
      <c r="AA128" s="166" t="s">
        <v>114</v>
      </c>
      <c r="AB128" s="166" t="s">
        <v>5</v>
      </c>
      <c r="AC128" s="168"/>
      <c r="AD128" s="166" t="s">
        <v>211</v>
      </c>
      <c r="AE128" s="168">
        <v>32</v>
      </c>
      <c r="AF128" s="166" t="s">
        <v>153</v>
      </c>
      <c r="AG128" s="168">
        <v>32</v>
      </c>
    </row>
    <row r="129" spans="1:33" s="27" customFormat="1" ht="14.25" customHeight="1">
      <c r="A129" s="166" t="s">
        <v>147</v>
      </c>
      <c r="B129" s="166" t="s">
        <v>237</v>
      </c>
      <c r="C129" s="166" t="s">
        <v>7</v>
      </c>
      <c r="D129" s="166" t="s">
        <v>115</v>
      </c>
      <c r="E129" s="166" t="s">
        <v>262</v>
      </c>
      <c r="F129" s="166" t="s">
        <v>146</v>
      </c>
      <c r="G129" s="167">
        <v>24326</v>
      </c>
      <c r="H129" s="167">
        <v>41512</v>
      </c>
      <c r="I129" s="167">
        <v>41512</v>
      </c>
      <c r="J129" s="166" t="s">
        <v>264</v>
      </c>
      <c r="K129" s="166" t="s">
        <v>265</v>
      </c>
      <c r="L129" s="166" t="s">
        <v>240</v>
      </c>
      <c r="M129" s="166" t="s">
        <v>241</v>
      </c>
      <c r="N129" s="166" t="s">
        <v>66</v>
      </c>
      <c r="O129" s="166" t="s">
        <v>242</v>
      </c>
      <c r="P129" s="166" t="s">
        <v>374</v>
      </c>
      <c r="Q129" s="166" t="s">
        <v>118</v>
      </c>
      <c r="R129" s="166" t="s">
        <v>263</v>
      </c>
      <c r="S129" s="166" t="s">
        <v>244</v>
      </c>
      <c r="T129" s="166" t="s">
        <v>245</v>
      </c>
      <c r="U129" s="168"/>
      <c r="V129" s="166" t="s">
        <v>246</v>
      </c>
      <c r="W129" s="168">
        <v>0</v>
      </c>
      <c r="X129" s="166" t="s">
        <v>119</v>
      </c>
      <c r="Y129" s="166" t="s">
        <v>112</v>
      </c>
      <c r="Z129" s="168"/>
      <c r="AA129" s="166" t="s">
        <v>114</v>
      </c>
      <c r="AB129" s="166" t="s">
        <v>5</v>
      </c>
      <c r="AC129" s="168"/>
      <c r="AD129" s="166" t="s">
        <v>211</v>
      </c>
      <c r="AE129" s="168">
        <v>58</v>
      </c>
      <c r="AF129" s="166" t="s">
        <v>153</v>
      </c>
      <c r="AG129" s="168">
        <v>57</v>
      </c>
    </row>
    <row r="130" spans="1:33" s="27" customFormat="1" ht="14.25" customHeight="1">
      <c r="A130" s="166" t="s">
        <v>117</v>
      </c>
      <c r="B130" s="166" t="s">
        <v>237</v>
      </c>
      <c r="C130" s="166" t="s">
        <v>7</v>
      </c>
      <c r="D130" s="166" t="s">
        <v>115</v>
      </c>
      <c r="E130" s="166" t="s">
        <v>266</v>
      </c>
      <c r="F130" s="166" t="s">
        <v>116</v>
      </c>
      <c r="G130" s="167">
        <v>25743</v>
      </c>
      <c r="H130" s="167">
        <v>38977</v>
      </c>
      <c r="I130" s="167">
        <v>38977</v>
      </c>
      <c r="J130" s="166" t="s">
        <v>268</v>
      </c>
      <c r="K130" s="166" t="s">
        <v>269</v>
      </c>
      <c r="L130" s="166" t="s">
        <v>240</v>
      </c>
      <c r="M130" s="166" t="s">
        <v>241</v>
      </c>
      <c r="N130" s="166" t="s">
        <v>66</v>
      </c>
      <c r="O130" s="166" t="s">
        <v>242</v>
      </c>
      <c r="P130" s="166" t="s">
        <v>374</v>
      </c>
      <c r="Q130" s="166" t="s">
        <v>118</v>
      </c>
      <c r="R130" s="166" t="s">
        <v>267</v>
      </c>
      <c r="S130" s="166" t="s">
        <v>244</v>
      </c>
      <c r="T130" s="166" t="s">
        <v>245</v>
      </c>
      <c r="U130" s="168"/>
      <c r="V130" s="166" t="s">
        <v>246</v>
      </c>
      <c r="W130" s="168">
        <v>0</v>
      </c>
      <c r="X130" s="166" t="s">
        <v>119</v>
      </c>
      <c r="Y130" s="166" t="s">
        <v>112</v>
      </c>
      <c r="Z130" s="168"/>
      <c r="AA130" s="166" t="s">
        <v>114</v>
      </c>
      <c r="AB130" s="166" t="s">
        <v>5</v>
      </c>
      <c r="AC130" s="168"/>
      <c r="AD130" s="166" t="s">
        <v>211</v>
      </c>
      <c r="AE130" s="168">
        <v>54</v>
      </c>
      <c r="AF130" s="166" t="s">
        <v>153</v>
      </c>
      <c r="AG130" s="168">
        <v>53</v>
      </c>
    </row>
    <row r="131" spans="1:33" s="27" customFormat="1" ht="14.25" customHeight="1">
      <c r="A131" s="166" t="s">
        <v>136</v>
      </c>
      <c r="B131" s="166" t="s">
        <v>237</v>
      </c>
      <c r="C131" s="166" t="s">
        <v>6</v>
      </c>
      <c r="D131" s="166" t="s">
        <v>115</v>
      </c>
      <c r="E131" s="166" t="s">
        <v>270</v>
      </c>
      <c r="F131" s="166" t="s">
        <v>135</v>
      </c>
      <c r="G131" s="167">
        <v>26853</v>
      </c>
      <c r="H131" s="167">
        <v>43678</v>
      </c>
      <c r="I131" s="167">
        <v>43678</v>
      </c>
      <c r="J131" s="166" t="s">
        <v>272</v>
      </c>
      <c r="K131" s="166" t="s">
        <v>273</v>
      </c>
      <c r="L131" s="166" t="s">
        <v>240</v>
      </c>
      <c r="M131" s="166" t="s">
        <v>241</v>
      </c>
      <c r="N131" s="166" t="s">
        <v>66</v>
      </c>
      <c r="O131" s="166" t="s">
        <v>242</v>
      </c>
      <c r="P131" s="166" t="s">
        <v>374</v>
      </c>
      <c r="Q131" s="166" t="s">
        <v>138</v>
      </c>
      <c r="R131" s="166" t="s">
        <v>271</v>
      </c>
      <c r="S131" s="166" t="s">
        <v>244</v>
      </c>
      <c r="T131" s="166" t="s">
        <v>245</v>
      </c>
      <c r="U131" s="168"/>
      <c r="V131" s="166" t="s">
        <v>246</v>
      </c>
      <c r="W131" s="168">
        <v>0</v>
      </c>
      <c r="X131" s="166" t="s">
        <v>119</v>
      </c>
      <c r="Y131" s="166" t="s">
        <v>112</v>
      </c>
      <c r="Z131" s="168"/>
      <c r="AA131" s="166" t="s">
        <v>114</v>
      </c>
      <c r="AB131" s="166" t="s">
        <v>5</v>
      </c>
      <c r="AC131" s="168"/>
      <c r="AD131" s="166" t="s">
        <v>211</v>
      </c>
      <c r="AE131" s="168">
        <v>51</v>
      </c>
      <c r="AF131" s="166" t="s">
        <v>153</v>
      </c>
      <c r="AG131" s="168">
        <v>50</v>
      </c>
    </row>
    <row r="132" spans="1:33" s="27" customFormat="1" ht="14.25" customHeight="1">
      <c r="A132" s="166" t="s">
        <v>142</v>
      </c>
      <c r="B132" s="166" t="s">
        <v>237</v>
      </c>
      <c r="C132" s="166" t="s">
        <v>7</v>
      </c>
      <c r="D132" s="166" t="s">
        <v>115</v>
      </c>
      <c r="E132" s="166" t="s">
        <v>274</v>
      </c>
      <c r="F132" s="166" t="s">
        <v>141</v>
      </c>
      <c r="G132" s="167">
        <v>28220</v>
      </c>
      <c r="H132" s="167">
        <v>42235</v>
      </c>
      <c r="I132" s="167">
        <v>42235</v>
      </c>
      <c r="J132" s="166" t="s">
        <v>276</v>
      </c>
      <c r="K132" s="166" t="s">
        <v>277</v>
      </c>
      <c r="L132" s="166" t="s">
        <v>240</v>
      </c>
      <c r="M132" s="166" t="s">
        <v>241</v>
      </c>
      <c r="N132" s="166" t="s">
        <v>66</v>
      </c>
      <c r="O132" s="166" t="s">
        <v>242</v>
      </c>
      <c r="P132" s="166" t="s">
        <v>374</v>
      </c>
      <c r="Q132" s="166" t="s">
        <v>118</v>
      </c>
      <c r="R132" s="166" t="s">
        <v>275</v>
      </c>
      <c r="S132" s="166" t="s">
        <v>244</v>
      </c>
      <c r="T132" s="166" t="s">
        <v>245</v>
      </c>
      <c r="U132" s="168"/>
      <c r="V132" s="166" t="s">
        <v>246</v>
      </c>
      <c r="W132" s="168">
        <v>0</v>
      </c>
      <c r="X132" s="166" t="s">
        <v>119</v>
      </c>
      <c r="Y132" s="166" t="s">
        <v>112</v>
      </c>
      <c r="Z132" s="168"/>
      <c r="AA132" s="166" t="s">
        <v>114</v>
      </c>
      <c r="AB132" s="166" t="s">
        <v>5</v>
      </c>
      <c r="AC132" s="168"/>
      <c r="AD132" s="166" t="s">
        <v>211</v>
      </c>
      <c r="AE132" s="168">
        <v>47</v>
      </c>
      <c r="AF132" s="166" t="s">
        <v>153</v>
      </c>
      <c r="AG132" s="168">
        <v>46</v>
      </c>
    </row>
    <row r="133" spans="1:33" s="27" customFormat="1" ht="14.25" customHeight="1">
      <c r="A133" s="166" t="s">
        <v>134</v>
      </c>
      <c r="B133" s="166" t="s">
        <v>237</v>
      </c>
      <c r="C133" s="166" t="s">
        <v>7</v>
      </c>
      <c r="D133" s="166" t="s">
        <v>115</v>
      </c>
      <c r="E133" s="166" t="s">
        <v>278</v>
      </c>
      <c r="F133" s="166" t="s">
        <v>133</v>
      </c>
      <c r="G133" s="167">
        <v>33030</v>
      </c>
      <c r="H133" s="167">
        <v>42634</v>
      </c>
      <c r="I133" s="167">
        <v>42634</v>
      </c>
      <c r="J133" s="166" t="s">
        <v>280</v>
      </c>
      <c r="K133" s="166" t="s">
        <v>281</v>
      </c>
      <c r="L133" s="166" t="s">
        <v>240</v>
      </c>
      <c r="M133" s="166" t="s">
        <v>241</v>
      </c>
      <c r="N133" s="166" t="s">
        <v>66</v>
      </c>
      <c r="O133" s="166" t="s">
        <v>242</v>
      </c>
      <c r="P133" s="166" t="s">
        <v>374</v>
      </c>
      <c r="Q133" s="166" t="s">
        <v>118</v>
      </c>
      <c r="R133" s="166" t="s">
        <v>279</v>
      </c>
      <c r="S133" s="166" t="s">
        <v>244</v>
      </c>
      <c r="T133" s="166" t="s">
        <v>245</v>
      </c>
      <c r="U133" s="168"/>
      <c r="V133" s="166" t="s">
        <v>246</v>
      </c>
      <c r="W133" s="168">
        <v>0</v>
      </c>
      <c r="X133" s="166" t="s">
        <v>119</v>
      </c>
      <c r="Y133" s="166" t="s">
        <v>112</v>
      </c>
      <c r="Z133" s="168"/>
      <c r="AA133" s="166" t="s">
        <v>114</v>
      </c>
      <c r="AB133" s="166" t="s">
        <v>5</v>
      </c>
      <c r="AC133" s="168"/>
      <c r="AD133" s="166" t="s">
        <v>211</v>
      </c>
      <c r="AE133" s="168">
        <v>34</v>
      </c>
      <c r="AF133" s="166" t="s">
        <v>153</v>
      </c>
      <c r="AG133" s="168">
        <v>33</v>
      </c>
    </row>
    <row r="134" spans="1:33" s="27" customFormat="1" ht="14.25" customHeight="1">
      <c r="A134" s="166" t="s">
        <v>213</v>
      </c>
      <c r="B134" s="166" t="s">
        <v>237</v>
      </c>
      <c r="C134" s="166" t="s">
        <v>7</v>
      </c>
      <c r="D134" s="166" t="s">
        <v>115</v>
      </c>
      <c r="E134" s="166" t="s">
        <v>282</v>
      </c>
      <c r="F134" s="166" t="s">
        <v>283</v>
      </c>
      <c r="G134" s="167">
        <v>30064</v>
      </c>
      <c r="H134" s="167">
        <v>41877</v>
      </c>
      <c r="I134" s="167">
        <v>41877</v>
      </c>
      <c r="J134" s="166" t="s">
        <v>285</v>
      </c>
      <c r="K134" s="166" t="s">
        <v>286</v>
      </c>
      <c r="L134" s="166" t="s">
        <v>240</v>
      </c>
      <c r="M134" s="166" t="s">
        <v>241</v>
      </c>
      <c r="N134" s="166" t="s">
        <v>66</v>
      </c>
      <c r="O134" s="166" t="s">
        <v>242</v>
      </c>
      <c r="P134" s="166" t="s">
        <v>374</v>
      </c>
      <c r="Q134" s="166" t="s">
        <v>118</v>
      </c>
      <c r="R134" s="166" t="s">
        <v>284</v>
      </c>
      <c r="S134" s="166" t="s">
        <v>244</v>
      </c>
      <c r="T134" s="166" t="s">
        <v>245</v>
      </c>
      <c r="U134" s="168"/>
      <c r="V134" s="166" t="s">
        <v>246</v>
      </c>
      <c r="W134" s="168">
        <v>0</v>
      </c>
      <c r="X134" s="166" t="s">
        <v>119</v>
      </c>
      <c r="Y134" s="166" t="s">
        <v>112</v>
      </c>
      <c r="Z134" s="168"/>
      <c r="AA134" s="166" t="s">
        <v>114</v>
      </c>
      <c r="AB134" s="166" t="s">
        <v>5</v>
      </c>
      <c r="AC134" s="168"/>
      <c r="AD134" s="166" t="s">
        <v>211</v>
      </c>
      <c r="AE134" s="168">
        <v>42</v>
      </c>
      <c r="AF134" s="166" t="s">
        <v>153</v>
      </c>
      <c r="AG134" s="168">
        <v>41</v>
      </c>
    </row>
    <row r="135" spans="1:33" s="27" customFormat="1" ht="14.25" customHeight="1">
      <c r="A135" s="166" t="s">
        <v>140</v>
      </c>
      <c r="B135" s="166" t="s">
        <v>237</v>
      </c>
      <c r="C135" s="166" t="s">
        <v>7</v>
      </c>
      <c r="D135" s="166" t="s">
        <v>115</v>
      </c>
      <c r="E135" s="166" t="s">
        <v>287</v>
      </c>
      <c r="F135" s="166" t="s">
        <v>139</v>
      </c>
      <c r="G135" s="167">
        <v>30686</v>
      </c>
      <c r="H135" s="167">
        <v>41031</v>
      </c>
      <c r="I135" s="167">
        <v>41031</v>
      </c>
      <c r="J135" s="166" t="s">
        <v>289</v>
      </c>
      <c r="K135" s="166" t="s">
        <v>290</v>
      </c>
      <c r="L135" s="166" t="s">
        <v>240</v>
      </c>
      <c r="M135" s="166" t="s">
        <v>241</v>
      </c>
      <c r="N135" s="166" t="s">
        <v>66</v>
      </c>
      <c r="O135" s="166" t="s">
        <v>242</v>
      </c>
      <c r="P135" s="166" t="s">
        <v>374</v>
      </c>
      <c r="Q135" s="166" t="s">
        <v>118</v>
      </c>
      <c r="R135" s="166" t="s">
        <v>288</v>
      </c>
      <c r="S135" s="166" t="s">
        <v>244</v>
      </c>
      <c r="T135" s="166" t="s">
        <v>245</v>
      </c>
      <c r="U135" s="168"/>
      <c r="V135" s="166" t="s">
        <v>246</v>
      </c>
      <c r="W135" s="168">
        <v>0</v>
      </c>
      <c r="X135" s="166" t="s">
        <v>119</v>
      </c>
      <c r="Y135" s="166" t="s">
        <v>112</v>
      </c>
      <c r="Z135" s="168"/>
      <c r="AA135" s="166" t="s">
        <v>114</v>
      </c>
      <c r="AB135" s="166" t="s">
        <v>5</v>
      </c>
      <c r="AC135" s="168"/>
      <c r="AD135" s="166" t="s">
        <v>211</v>
      </c>
      <c r="AE135" s="168">
        <v>40</v>
      </c>
      <c r="AF135" s="166" t="s">
        <v>153</v>
      </c>
      <c r="AG135" s="168">
        <v>39</v>
      </c>
    </row>
    <row r="136" spans="1:33" s="27" customFormat="1" ht="14.25" customHeight="1">
      <c r="A136" s="166" t="s">
        <v>144</v>
      </c>
      <c r="B136" s="166" t="s">
        <v>237</v>
      </c>
      <c r="C136" s="166" t="s">
        <v>6</v>
      </c>
      <c r="D136" s="166" t="s">
        <v>115</v>
      </c>
      <c r="E136" s="166" t="s">
        <v>291</v>
      </c>
      <c r="F136" s="166" t="s">
        <v>143</v>
      </c>
      <c r="G136" s="167">
        <v>34066</v>
      </c>
      <c r="H136" s="167">
        <v>43348</v>
      </c>
      <c r="I136" s="167">
        <v>43348</v>
      </c>
      <c r="J136" s="166" t="s">
        <v>293</v>
      </c>
      <c r="K136" s="166" t="s">
        <v>294</v>
      </c>
      <c r="L136" s="166" t="s">
        <v>240</v>
      </c>
      <c r="M136" s="166" t="s">
        <v>241</v>
      </c>
      <c r="N136" s="166" t="s">
        <v>193</v>
      </c>
      <c r="O136" s="166" t="s">
        <v>258</v>
      </c>
      <c r="P136" s="166" t="s">
        <v>374</v>
      </c>
      <c r="Q136" s="166" t="s">
        <v>113</v>
      </c>
      <c r="R136" s="166" t="s">
        <v>292</v>
      </c>
      <c r="S136" s="166" t="s">
        <v>244</v>
      </c>
      <c r="T136" s="166" t="s">
        <v>245</v>
      </c>
      <c r="U136" s="168"/>
      <c r="V136" s="166" t="s">
        <v>246</v>
      </c>
      <c r="W136" s="168">
        <v>0</v>
      </c>
      <c r="X136" s="166" t="s">
        <v>119</v>
      </c>
      <c r="Y136" s="166" t="s">
        <v>112</v>
      </c>
      <c r="Z136" s="168"/>
      <c r="AA136" s="166" t="s">
        <v>114</v>
      </c>
      <c r="AB136" s="166" t="s">
        <v>5</v>
      </c>
      <c r="AC136" s="168"/>
      <c r="AD136" s="166" t="s">
        <v>211</v>
      </c>
      <c r="AE136" s="168">
        <v>31</v>
      </c>
      <c r="AF136" s="166" t="s">
        <v>153</v>
      </c>
      <c r="AG136" s="168">
        <v>31</v>
      </c>
    </row>
    <row r="137" spans="1:33" s="27" customFormat="1" ht="14.25" customHeight="1">
      <c r="A137" s="166" t="s">
        <v>130</v>
      </c>
      <c r="B137" s="166" t="s">
        <v>237</v>
      </c>
      <c r="C137" s="166" t="s">
        <v>7</v>
      </c>
      <c r="D137" s="166" t="s">
        <v>115</v>
      </c>
      <c r="E137" s="166" t="s">
        <v>296</v>
      </c>
      <c r="F137" s="166" t="s">
        <v>129</v>
      </c>
      <c r="G137" s="167">
        <v>34110</v>
      </c>
      <c r="H137" s="167">
        <v>44801</v>
      </c>
      <c r="I137" s="167">
        <v>44801</v>
      </c>
      <c r="J137" s="166" t="s">
        <v>298</v>
      </c>
      <c r="K137" s="166" t="s">
        <v>299</v>
      </c>
      <c r="L137" s="167">
        <v>44801</v>
      </c>
      <c r="M137" s="166" t="s">
        <v>241</v>
      </c>
      <c r="N137" s="166" t="s">
        <v>66</v>
      </c>
      <c r="O137" s="166" t="s">
        <v>258</v>
      </c>
      <c r="P137" s="166" t="s">
        <v>374</v>
      </c>
      <c r="Q137" s="166" t="s">
        <v>113</v>
      </c>
      <c r="R137" s="166" t="s">
        <v>297</v>
      </c>
      <c r="S137" s="166" t="s">
        <v>244</v>
      </c>
      <c r="T137" s="166" t="s">
        <v>245</v>
      </c>
      <c r="U137" s="168"/>
      <c r="V137" s="166" t="s">
        <v>246</v>
      </c>
      <c r="W137" s="168">
        <v>0</v>
      </c>
      <c r="X137" s="166" t="s">
        <v>119</v>
      </c>
      <c r="Y137" s="166" t="s">
        <v>112</v>
      </c>
      <c r="Z137" s="168"/>
      <c r="AA137" s="166" t="s">
        <v>114</v>
      </c>
      <c r="AB137" s="166" t="s">
        <v>5</v>
      </c>
      <c r="AC137" s="168"/>
      <c r="AD137" s="166" t="s">
        <v>211</v>
      </c>
      <c r="AE137" s="168">
        <v>31</v>
      </c>
      <c r="AF137" s="166" t="s">
        <v>153</v>
      </c>
      <c r="AG137" s="168">
        <v>31</v>
      </c>
    </row>
    <row r="138" spans="1:33" s="27" customFormat="1" ht="14.25" customHeight="1">
      <c r="A138" s="166" t="s">
        <v>209</v>
      </c>
      <c r="B138" s="166" t="s">
        <v>237</v>
      </c>
      <c r="C138" s="166" t="s">
        <v>7</v>
      </c>
      <c r="D138" s="166" t="s">
        <v>115</v>
      </c>
      <c r="E138" s="166" t="s">
        <v>375</v>
      </c>
      <c r="F138" s="166" t="s">
        <v>208</v>
      </c>
      <c r="G138" s="167">
        <v>31699</v>
      </c>
      <c r="H138" s="167">
        <v>45152</v>
      </c>
      <c r="I138" s="167">
        <v>45152</v>
      </c>
      <c r="J138" s="166" t="s">
        <v>381</v>
      </c>
      <c r="K138" s="166" t="s">
        <v>300</v>
      </c>
      <c r="L138" s="166" t="s">
        <v>240</v>
      </c>
      <c r="M138" s="166" t="s">
        <v>241</v>
      </c>
      <c r="N138" s="166" t="s">
        <v>66</v>
      </c>
      <c r="O138" s="166" t="s">
        <v>242</v>
      </c>
      <c r="P138" s="166" t="s">
        <v>374</v>
      </c>
      <c r="Q138" s="166" t="s">
        <v>118</v>
      </c>
      <c r="R138" s="166" t="s">
        <v>371</v>
      </c>
      <c r="S138" s="166" t="s">
        <v>244</v>
      </c>
      <c r="T138" s="166" t="s">
        <v>245</v>
      </c>
      <c r="U138" s="168"/>
      <c r="V138" s="166" t="s">
        <v>246</v>
      </c>
      <c r="W138" s="168">
        <v>0</v>
      </c>
      <c r="X138" s="166" t="s">
        <v>119</v>
      </c>
      <c r="Y138" s="166" t="s">
        <v>112</v>
      </c>
      <c r="Z138" s="168"/>
      <c r="AA138" s="166" t="s">
        <v>114</v>
      </c>
      <c r="AB138" s="166" t="s">
        <v>5</v>
      </c>
      <c r="AC138" s="168"/>
      <c r="AD138" s="166" t="s">
        <v>211</v>
      </c>
      <c r="AE138" s="168">
        <v>38</v>
      </c>
      <c r="AF138" s="166" t="s">
        <v>153</v>
      </c>
      <c r="AG138" s="168">
        <v>37</v>
      </c>
    </row>
    <row r="139" spans="1:33" s="27" customFormat="1" ht="14.25" customHeight="1">
      <c r="A139" s="166" t="s">
        <v>207</v>
      </c>
      <c r="B139" s="166" t="s">
        <v>237</v>
      </c>
      <c r="C139" s="166" t="s">
        <v>7</v>
      </c>
      <c r="D139" s="166" t="s">
        <v>115</v>
      </c>
      <c r="E139" s="166" t="s">
        <v>376</v>
      </c>
      <c r="F139" s="166" t="s">
        <v>206</v>
      </c>
      <c r="G139" s="167">
        <v>35396</v>
      </c>
      <c r="H139" s="167">
        <v>45154</v>
      </c>
      <c r="I139" s="167">
        <v>45154</v>
      </c>
      <c r="J139" s="166" t="s">
        <v>382</v>
      </c>
      <c r="K139" s="166" t="s">
        <v>301</v>
      </c>
      <c r="L139" s="166" t="s">
        <v>240</v>
      </c>
      <c r="M139" s="166" t="s">
        <v>241</v>
      </c>
      <c r="N139" s="166" t="s">
        <v>66</v>
      </c>
      <c r="O139" s="166" t="s">
        <v>242</v>
      </c>
      <c r="P139" s="166" t="s">
        <v>374</v>
      </c>
      <c r="Q139" s="166" t="s">
        <v>118</v>
      </c>
      <c r="R139" s="166" t="s">
        <v>372</v>
      </c>
      <c r="S139" s="166" t="s">
        <v>244</v>
      </c>
      <c r="T139" s="166" t="s">
        <v>245</v>
      </c>
      <c r="U139" s="168"/>
      <c r="V139" s="166" t="s">
        <v>246</v>
      </c>
      <c r="W139" s="168">
        <v>0</v>
      </c>
      <c r="X139" s="166" t="s">
        <v>119</v>
      </c>
      <c r="Y139" s="166" t="s">
        <v>112</v>
      </c>
      <c r="Z139" s="168"/>
      <c r="AA139" s="166" t="s">
        <v>114</v>
      </c>
      <c r="AB139" s="166" t="s">
        <v>5</v>
      </c>
      <c r="AC139" s="168"/>
      <c r="AD139" s="166" t="s">
        <v>211</v>
      </c>
      <c r="AE139" s="168">
        <v>28</v>
      </c>
      <c r="AF139" s="166" t="s">
        <v>153</v>
      </c>
      <c r="AG139" s="168">
        <v>28</v>
      </c>
    </row>
  </sheetData>
  <pageMargins left="1" right="1" top="1" bottom="1" header="0.3" footer="0.3"/>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pageSetUpPr fitToPage="1"/>
  </sheetPr>
  <dimension ref="A1:E75"/>
  <sheetViews>
    <sheetView rightToLeft="1" zoomScale="125" workbookViewId="0"/>
  </sheetViews>
  <sheetFormatPr defaultColWidth="8.796875" defaultRowHeight="13.8"/>
  <cols>
    <col min="1" max="1" width="29.296875" customWidth="1"/>
    <col min="2" max="2" width="18.19921875" customWidth="1"/>
    <col min="3" max="3" width="14.5" customWidth="1"/>
    <col min="4" max="4" width="121.19921875" customWidth="1"/>
    <col min="5" max="5" width="14.296875" bestFit="1" customWidth="1"/>
    <col min="6" max="6" width="26.5" customWidth="1"/>
  </cols>
  <sheetData>
    <row r="1" spans="1:5" ht="25.5" customHeight="1" thickBot="1">
      <c r="A1" s="59"/>
      <c r="B1" s="60"/>
      <c r="C1" s="61"/>
      <c r="D1" s="60"/>
      <c r="E1" s="60"/>
    </row>
    <row r="2" spans="1:5" ht="25.8" thickTop="1" thickBot="1">
      <c r="B2" s="718" t="s">
        <v>219</v>
      </c>
      <c r="C2" s="719"/>
      <c r="D2" s="720"/>
    </row>
    <row r="3" spans="1:5" ht="15" thickTop="1" thickBot="1"/>
    <row r="4" spans="1:5" ht="43.05" customHeight="1" thickBot="1">
      <c r="A4" s="62" t="s">
        <v>86</v>
      </c>
      <c r="B4" s="63" t="s">
        <v>84</v>
      </c>
      <c r="C4" s="63" t="s">
        <v>87</v>
      </c>
      <c r="D4" s="299" t="s">
        <v>204</v>
      </c>
      <c r="E4" s="300" t="s">
        <v>88</v>
      </c>
    </row>
    <row r="5" spans="1:5" ht="31.05" customHeight="1" thickBot="1">
      <c r="A5" s="301" t="s">
        <v>1406</v>
      </c>
      <c r="B5" s="302" t="s">
        <v>1407</v>
      </c>
      <c r="C5" s="303">
        <v>24</v>
      </c>
      <c r="D5" s="304" t="s">
        <v>1408</v>
      </c>
      <c r="E5" s="305">
        <v>24</v>
      </c>
    </row>
    <row r="6" spans="1:5" ht="31.05" customHeight="1" thickBot="1">
      <c r="A6" s="301" t="s">
        <v>1409</v>
      </c>
      <c r="B6" s="302" t="s">
        <v>1407</v>
      </c>
      <c r="C6" s="303">
        <v>24</v>
      </c>
      <c r="D6" s="304" t="s">
        <v>1408</v>
      </c>
      <c r="E6" s="305">
        <v>24</v>
      </c>
    </row>
    <row r="7" spans="1:5" ht="31.05" customHeight="1" thickBot="1">
      <c r="A7" s="301" t="s">
        <v>1410</v>
      </c>
      <c r="B7" s="302" t="s">
        <v>1411</v>
      </c>
      <c r="C7" s="303">
        <v>24</v>
      </c>
      <c r="D7" s="306" t="s">
        <v>1412</v>
      </c>
      <c r="E7" s="305">
        <v>24</v>
      </c>
    </row>
    <row r="8" spans="1:5" ht="31.05" customHeight="1" thickBot="1">
      <c r="A8" s="301" t="s">
        <v>1413</v>
      </c>
      <c r="B8" s="302" t="s">
        <v>1414</v>
      </c>
      <c r="C8" s="303">
        <v>24</v>
      </c>
      <c r="D8" s="306" t="s">
        <v>1415</v>
      </c>
      <c r="E8" s="305">
        <v>24</v>
      </c>
    </row>
    <row r="9" spans="1:5" ht="31.05" customHeight="1" thickBot="1">
      <c r="A9" s="301" t="s">
        <v>1416</v>
      </c>
      <c r="B9" s="302" t="s">
        <v>364</v>
      </c>
      <c r="C9" s="303">
        <v>24</v>
      </c>
      <c r="D9" s="306" t="s">
        <v>1417</v>
      </c>
      <c r="E9" s="305">
        <v>24</v>
      </c>
    </row>
    <row r="10" spans="1:5" ht="31.05" customHeight="1" thickBot="1">
      <c r="A10" s="301" t="s">
        <v>1418</v>
      </c>
      <c r="B10" s="302" t="s">
        <v>53</v>
      </c>
      <c r="C10" s="303">
        <v>25</v>
      </c>
      <c r="D10" s="307" t="s">
        <v>1419</v>
      </c>
      <c r="E10" s="305">
        <v>25</v>
      </c>
    </row>
    <row r="11" spans="1:5" ht="31.05" customHeight="1" thickBot="1">
      <c r="A11" s="301" t="s">
        <v>1420</v>
      </c>
      <c r="B11" s="302" t="s">
        <v>57</v>
      </c>
      <c r="C11" s="303">
        <v>24</v>
      </c>
      <c r="D11" s="306" t="s">
        <v>1421</v>
      </c>
      <c r="E11" s="305">
        <v>24</v>
      </c>
    </row>
    <row r="12" spans="1:5" ht="31.05" customHeight="1" thickBot="1">
      <c r="A12" s="301" t="s">
        <v>1422</v>
      </c>
      <c r="B12" s="302" t="s">
        <v>57</v>
      </c>
      <c r="C12" s="303">
        <v>24</v>
      </c>
      <c r="D12" s="306" t="s">
        <v>1423</v>
      </c>
      <c r="E12" s="308">
        <v>24</v>
      </c>
    </row>
    <row r="13" spans="1:5" ht="31.05" customHeight="1" thickBot="1">
      <c r="A13" s="301" t="s">
        <v>1424</v>
      </c>
      <c r="B13" s="302" t="s">
        <v>57</v>
      </c>
      <c r="C13" s="303">
        <v>24</v>
      </c>
      <c r="D13" s="306" t="s">
        <v>1425</v>
      </c>
      <c r="E13" s="305">
        <v>24</v>
      </c>
    </row>
    <row r="14" spans="1:5" ht="31.05" customHeight="1" thickBot="1">
      <c r="A14" s="301" t="s">
        <v>1426</v>
      </c>
      <c r="B14" s="302" t="s">
        <v>79</v>
      </c>
      <c r="C14" s="303">
        <v>24</v>
      </c>
      <c r="D14" s="306" t="s">
        <v>1427</v>
      </c>
      <c r="E14" s="305">
        <v>24</v>
      </c>
    </row>
    <row r="15" spans="1:5" ht="31.05" customHeight="1" thickBot="1">
      <c r="A15" s="301" t="s">
        <v>1428</v>
      </c>
      <c r="B15" s="302" t="s">
        <v>79</v>
      </c>
      <c r="C15" s="303">
        <v>24</v>
      </c>
      <c r="D15" s="306" t="s">
        <v>1429</v>
      </c>
      <c r="E15" s="305">
        <v>24</v>
      </c>
    </row>
    <row r="16" spans="1:5" ht="31.05" customHeight="1" thickBot="1">
      <c r="A16" s="301" t="s">
        <v>1430</v>
      </c>
      <c r="B16" s="302" t="s">
        <v>79</v>
      </c>
      <c r="C16" s="303">
        <v>24</v>
      </c>
      <c r="D16" s="306" t="s">
        <v>1431</v>
      </c>
      <c r="E16" s="308">
        <v>24</v>
      </c>
    </row>
    <row r="17" spans="1:5" ht="31.05" customHeight="1" thickBot="1">
      <c r="A17" s="301" t="s">
        <v>1432</v>
      </c>
      <c r="B17" s="302" t="s">
        <v>68</v>
      </c>
      <c r="C17" s="303">
        <v>24</v>
      </c>
      <c r="D17" s="306" t="s">
        <v>1433</v>
      </c>
      <c r="E17" s="305">
        <v>24</v>
      </c>
    </row>
    <row r="18" spans="1:5" ht="31.05" customHeight="1" thickBot="1">
      <c r="A18" s="301" t="s">
        <v>1434</v>
      </c>
      <c r="B18" s="302" t="s">
        <v>68</v>
      </c>
      <c r="C18" s="303">
        <v>24</v>
      </c>
      <c r="D18" s="306" t="s">
        <v>1435</v>
      </c>
      <c r="E18" s="305">
        <v>24</v>
      </c>
    </row>
    <row r="19" spans="1:5" ht="31.05" customHeight="1" thickBot="1">
      <c r="A19" s="301" t="s">
        <v>1436</v>
      </c>
      <c r="B19" s="302" t="s">
        <v>53</v>
      </c>
      <c r="C19" s="303">
        <v>24</v>
      </c>
      <c r="D19" s="309" t="s">
        <v>1437</v>
      </c>
      <c r="E19" s="305">
        <v>24</v>
      </c>
    </row>
    <row r="20" spans="1:5" ht="34.950000000000003" customHeight="1" thickBot="1">
      <c r="A20" s="301" t="s">
        <v>1438</v>
      </c>
      <c r="B20" s="302" t="s">
        <v>62</v>
      </c>
      <c r="C20" s="303">
        <v>24</v>
      </c>
      <c r="D20" s="310" t="s">
        <v>1439</v>
      </c>
      <c r="E20" s="311">
        <v>24</v>
      </c>
    </row>
    <row r="21" spans="1:5" ht="31.05" customHeight="1" thickBot="1">
      <c r="A21" s="312" t="s">
        <v>1440</v>
      </c>
      <c r="B21" s="302" t="s">
        <v>60</v>
      </c>
      <c r="C21" s="303">
        <v>24</v>
      </c>
      <c r="D21" s="304" t="s">
        <v>1441</v>
      </c>
      <c r="E21" s="305">
        <v>24</v>
      </c>
    </row>
    <row r="22" spans="1:5" ht="31.05" customHeight="1" thickBot="1">
      <c r="A22" s="312" t="s">
        <v>1442</v>
      </c>
      <c r="B22" s="302" t="s">
        <v>1443</v>
      </c>
      <c r="C22" s="303">
        <v>24</v>
      </c>
      <c r="D22" s="306" t="s">
        <v>1444</v>
      </c>
      <c r="E22" s="305">
        <v>24</v>
      </c>
    </row>
    <row r="23" spans="1:5" ht="125.4" thickBot="1">
      <c r="A23" s="135" t="s">
        <v>89</v>
      </c>
      <c r="B23" s="313">
        <v>396</v>
      </c>
      <c r="C23" s="313">
        <f>SUM(C5:C22)</f>
        <v>433</v>
      </c>
      <c r="D23" s="314" t="s">
        <v>1445</v>
      </c>
      <c r="E23" s="65"/>
    </row>
    <row r="25" spans="1:5" ht="24.6">
      <c r="A25" s="721" t="s">
        <v>1446</v>
      </c>
      <c r="B25" s="721"/>
      <c r="C25" s="721"/>
      <c r="D25" s="721"/>
      <c r="E25" s="721"/>
    </row>
    <row r="26" spans="1:5" ht="14.4" thickBot="1"/>
    <row r="27" spans="1:5" ht="47.4" thickBot="1">
      <c r="A27" s="62" t="s">
        <v>86</v>
      </c>
      <c r="B27" s="63" t="s">
        <v>84</v>
      </c>
      <c r="C27" s="63" t="s">
        <v>87</v>
      </c>
      <c r="D27" s="64" t="s">
        <v>204</v>
      </c>
      <c r="E27" s="315" t="s">
        <v>88</v>
      </c>
    </row>
    <row r="28" spans="1:5" ht="18" thickBot="1">
      <c r="A28" s="301" t="s">
        <v>1447</v>
      </c>
      <c r="B28" s="302" t="s">
        <v>364</v>
      </c>
      <c r="C28" s="303">
        <v>25</v>
      </c>
      <c r="D28" s="316" t="s">
        <v>1448</v>
      </c>
      <c r="E28" s="317">
        <v>25</v>
      </c>
    </row>
    <row r="29" spans="1:5" ht="18" thickBot="1">
      <c r="A29" s="301" t="s">
        <v>1449</v>
      </c>
      <c r="B29" s="302" t="s">
        <v>53</v>
      </c>
      <c r="C29" s="303">
        <v>26</v>
      </c>
      <c r="D29" s="316" t="s">
        <v>1450</v>
      </c>
      <c r="E29" s="317">
        <v>26</v>
      </c>
    </row>
    <row r="30" spans="1:5" ht="18" thickBot="1">
      <c r="A30" s="301" t="s">
        <v>1451</v>
      </c>
      <c r="B30" s="302" t="s">
        <v>53</v>
      </c>
      <c r="C30" s="303">
        <v>27</v>
      </c>
      <c r="D30" s="316" t="s">
        <v>1452</v>
      </c>
      <c r="E30" s="317">
        <v>27</v>
      </c>
    </row>
    <row r="31" spans="1:5" ht="18" thickBot="1">
      <c r="A31" s="301" t="s">
        <v>1453</v>
      </c>
      <c r="B31" s="302" t="s">
        <v>57</v>
      </c>
      <c r="C31" s="303">
        <v>24</v>
      </c>
      <c r="D31" s="316" t="s">
        <v>1454</v>
      </c>
      <c r="E31" s="317">
        <v>30</v>
      </c>
    </row>
    <row r="32" spans="1:5" ht="18" thickBot="1">
      <c r="A32" s="318" t="s">
        <v>1455</v>
      </c>
      <c r="B32" s="302" t="s">
        <v>57</v>
      </c>
      <c r="C32" s="303">
        <v>30</v>
      </c>
      <c r="D32" s="316" t="s">
        <v>1456</v>
      </c>
      <c r="E32" s="317">
        <v>24</v>
      </c>
    </row>
    <row r="33" spans="1:5" ht="18" thickBot="1">
      <c r="A33" s="301" t="s">
        <v>1457</v>
      </c>
      <c r="B33" s="302" t="s">
        <v>79</v>
      </c>
      <c r="C33" s="303">
        <v>24</v>
      </c>
      <c r="D33" s="316" t="s">
        <v>1458</v>
      </c>
      <c r="E33" s="317">
        <v>24</v>
      </c>
    </row>
    <row r="34" spans="1:5" ht="18" thickBot="1">
      <c r="A34" s="301" t="s">
        <v>205</v>
      </c>
      <c r="B34" s="302" t="s">
        <v>79</v>
      </c>
      <c r="C34" s="303">
        <v>12</v>
      </c>
      <c r="D34" s="316" t="s">
        <v>1459</v>
      </c>
      <c r="E34" s="317">
        <v>24</v>
      </c>
    </row>
    <row r="35" spans="1:5" ht="18" thickBot="1">
      <c r="A35" s="301" t="s">
        <v>1460</v>
      </c>
      <c r="B35" s="302" t="s">
        <v>68</v>
      </c>
      <c r="C35" s="303">
        <v>24</v>
      </c>
      <c r="D35" s="316" t="s">
        <v>1461</v>
      </c>
      <c r="E35" s="317">
        <v>24</v>
      </c>
    </row>
    <row r="36" spans="1:5" ht="18" thickBot="1">
      <c r="A36" s="301" t="s">
        <v>1462</v>
      </c>
      <c r="B36" s="302" t="s">
        <v>68</v>
      </c>
      <c r="C36" s="303">
        <v>27</v>
      </c>
      <c r="D36" s="316" t="s">
        <v>1463</v>
      </c>
      <c r="E36" s="317">
        <v>27</v>
      </c>
    </row>
    <row r="37" spans="1:5" ht="18" thickBot="1">
      <c r="A37" s="301" t="s">
        <v>1464</v>
      </c>
      <c r="B37" s="302" t="s">
        <v>91</v>
      </c>
      <c r="C37" s="303">
        <v>24</v>
      </c>
      <c r="D37" s="316" t="s">
        <v>1465</v>
      </c>
      <c r="E37" s="317">
        <v>24</v>
      </c>
    </row>
    <row r="38" spans="1:5" ht="18" thickBot="1">
      <c r="A38" s="301" t="s">
        <v>1466</v>
      </c>
      <c r="B38" s="302" t="s">
        <v>62</v>
      </c>
      <c r="C38" s="303">
        <v>27</v>
      </c>
      <c r="D38" s="316" t="s">
        <v>1467</v>
      </c>
      <c r="E38" s="317">
        <v>27</v>
      </c>
    </row>
    <row r="39" spans="1:5" ht="18" thickBot="1">
      <c r="A39" s="399" t="s">
        <v>1655</v>
      </c>
      <c r="B39" s="302" t="s">
        <v>60</v>
      </c>
      <c r="C39" s="303">
        <v>12</v>
      </c>
      <c r="D39" s="316" t="s">
        <v>1468</v>
      </c>
      <c r="E39" s="317">
        <v>25</v>
      </c>
    </row>
    <row r="40" spans="1:5" ht="18" thickBot="1">
      <c r="A40" s="399" t="s">
        <v>1656</v>
      </c>
      <c r="B40" s="302" t="s">
        <v>1443</v>
      </c>
      <c r="C40" s="303">
        <v>8</v>
      </c>
      <c r="D40" s="316" t="s">
        <v>1469</v>
      </c>
      <c r="E40" s="317">
        <v>26</v>
      </c>
    </row>
    <row r="41" spans="1:5" ht="18" thickBot="1">
      <c r="A41" s="319" t="s">
        <v>1470</v>
      </c>
      <c r="B41" s="302" t="s">
        <v>1443</v>
      </c>
      <c r="C41" s="303">
        <v>25</v>
      </c>
      <c r="D41" s="316" t="s">
        <v>1471</v>
      </c>
      <c r="E41" s="317">
        <v>25</v>
      </c>
    </row>
    <row r="42" spans="1:5" ht="18" thickBot="1">
      <c r="A42" s="320"/>
      <c r="B42" s="321"/>
      <c r="C42" s="321">
        <f>SUM(C28:C41)</f>
        <v>315</v>
      </c>
      <c r="D42" s="322"/>
      <c r="E42" s="323">
        <f>SUM(E28:E41)</f>
        <v>358</v>
      </c>
    </row>
    <row r="44" spans="1:5" ht="24.6">
      <c r="A44" s="721" t="s">
        <v>1472</v>
      </c>
      <c r="B44" s="721"/>
      <c r="C44" s="721"/>
      <c r="D44" s="721"/>
      <c r="E44" s="721"/>
    </row>
    <row r="45" spans="1:5" ht="14.4" thickBot="1"/>
    <row r="46" spans="1:5" ht="54.6" thickBot="1">
      <c r="A46" s="329" t="s">
        <v>86</v>
      </c>
      <c r="B46" s="330" t="s">
        <v>84</v>
      </c>
      <c r="C46" s="330" t="s">
        <v>87</v>
      </c>
      <c r="D46" s="330" t="s">
        <v>204</v>
      </c>
      <c r="E46" s="330" t="s">
        <v>87</v>
      </c>
    </row>
    <row r="47" spans="1:5" ht="18" thickBot="1">
      <c r="A47" s="331" t="s">
        <v>1473</v>
      </c>
      <c r="B47" s="332" t="s">
        <v>191</v>
      </c>
      <c r="C47" s="333">
        <v>24</v>
      </c>
      <c r="D47" s="334" t="s">
        <v>1474</v>
      </c>
      <c r="E47" s="333">
        <v>24</v>
      </c>
    </row>
    <row r="48" spans="1:5" ht="18" thickBot="1">
      <c r="A48" s="335" t="s">
        <v>1475</v>
      </c>
      <c r="B48" s="336" t="s">
        <v>191</v>
      </c>
      <c r="C48" s="337">
        <v>27</v>
      </c>
      <c r="D48" s="338" t="s">
        <v>1476</v>
      </c>
      <c r="E48" s="337">
        <v>27</v>
      </c>
    </row>
    <row r="49" spans="1:5" ht="18" thickBot="1">
      <c r="A49" s="335" t="s">
        <v>1477</v>
      </c>
      <c r="B49" s="336" t="s">
        <v>191</v>
      </c>
      <c r="C49" s="337">
        <v>24</v>
      </c>
      <c r="D49" s="338" t="s">
        <v>1478</v>
      </c>
      <c r="E49" s="337">
        <v>24</v>
      </c>
    </row>
    <row r="50" spans="1:5" ht="18" thickBot="1">
      <c r="A50" s="335" t="s">
        <v>1479</v>
      </c>
      <c r="B50" s="336" t="s">
        <v>191</v>
      </c>
      <c r="C50" s="337">
        <v>26</v>
      </c>
      <c r="D50" s="338" t="s">
        <v>1480</v>
      </c>
      <c r="E50" s="337">
        <v>26</v>
      </c>
    </row>
    <row r="51" spans="1:5" ht="18" thickBot="1">
      <c r="A51" s="335" t="s">
        <v>1481</v>
      </c>
      <c r="B51" s="336" t="s">
        <v>1482</v>
      </c>
      <c r="C51" s="337">
        <v>27</v>
      </c>
      <c r="D51" s="338" t="s">
        <v>1483</v>
      </c>
      <c r="E51" s="337">
        <v>27</v>
      </c>
    </row>
    <row r="52" spans="1:5" ht="18" thickBot="1">
      <c r="A52" s="335" t="s">
        <v>1484</v>
      </c>
      <c r="B52" s="336" t="s">
        <v>55</v>
      </c>
      <c r="C52" s="337">
        <v>28</v>
      </c>
      <c r="D52" s="338" t="s">
        <v>1485</v>
      </c>
      <c r="E52" s="337">
        <v>28</v>
      </c>
    </row>
    <row r="53" spans="1:5" ht="18" thickBot="1">
      <c r="A53" s="335" t="s">
        <v>1486</v>
      </c>
      <c r="B53" s="336" t="s">
        <v>55</v>
      </c>
      <c r="C53" s="337">
        <v>28</v>
      </c>
      <c r="D53" s="338" t="s">
        <v>1487</v>
      </c>
      <c r="E53" s="337">
        <v>28</v>
      </c>
    </row>
    <row r="54" spans="1:5" ht="18" thickBot="1">
      <c r="A54" s="335" t="s">
        <v>1488</v>
      </c>
      <c r="B54" s="336" t="s">
        <v>55</v>
      </c>
      <c r="C54" s="337">
        <v>24</v>
      </c>
      <c r="D54" s="338" t="s">
        <v>1489</v>
      </c>
      <c r="E54" s="337">
        <v>24</v>
      </c>
    </row>
    <row r="55" spans="1:5" ht="18" thickBot="1">
      <c r="A55" s="335" t="s">
        <v>1490</v>
      </c>
      <c r="B55" s="336" t="s">
        <v>55</v>
      </c>
      <c r="C55" s="337">
        <v>25</v>
      </c>
      <c r="D55" s="338" t="s">
        <v>1491</v>
      </c>
      <c r="E55" s="337">
        <v>25</v>
      </c>
    </row>
    <row r="56" spans="1:5" ht="18" thickBot="1">
      <c r="A56" s="335" t="s">
        <v>1492</v>
      </c>
      <c r="B56" s="336" t="s">
        <v>217</v>
      </c>
      <c r="C56" s="337">
        <v>27</v>
      </c>
      <c r="D56" s="338" t="s">
        <v>1493</v>
      </c>
      <c r="E56" s="337">
        <v>27</v>
      </c>
    </row>
    <row r="57" spans="1:5" ht="18" thickBot="1">
      <c r="A57" s="335" t="s">
        <v>1494</v>
      </c>
      <c r="B57" s="336" t="s">
        <v>217</v>
      </c>
      <c r="C57" s="337">
        <v>25</v>
      </c>
      <c r="D57" s="338" t="s">
        <v>1495</v>
      </c>
      <c r="E57" s="337">
        <v>25</v>
      </c>
    </row>
    <row r="58" spans="1:5" ht="18" thickBot="1">
      <c r="A58" s="335" t="s">
        <v>1496</v>
      </c>
      <c r="B58" s="336" t="s">
        <v>217</v>
      </c>
      <c r="C58" s="337">
        <v>26</v>
      </c>
      <c r="D58" s="338" t="s">
        <v>1497</v>
      </c>
      <c r="E58" s="337">
        <v>26</v>
      </c>
    </row>
    <row r="59" spans="1:5" ht="18" thickBot="1">
      <c r="A59" s="335" t="s">
        <v>1498</v>
      </c>
      <c r="B59" s="336" t="s">
        <v>1523</v>
      </c>
      <c r="C59" s="337">
        <v>25</v>
      </c>
      <c r="D59" s="338" t="s">
        <v>1499</v>
      </c>
      <c r="E59" s="337">
        <v>25</v>
      </c>
    </row>
    <row r="60" spans="1:5" ht="18" thickBot="1">
      <c r="A60" s="335" t="s">
        <v>1500</v>
      </c>
      <c r="B60" s="336" t="s">
        <v>1501</v>
      </c>
      <c r="C60" s="337">
        <v>24</v>
      </c>
      <c r="D60" s="338" t="s">
        <v>1502</v>
      </c>
      <c r="E60" s="337">
        <v>24</v>
      </c>
    </row>
    <row r="61" spans="1:5" ht="18" thickBot="1">
      <c r="A61" s="335" t="s">
        <v>1503</v>
      </c>
      <c r="B61" s="336" t="s">
        <v>1501</v>
      </c>
      <c r="C61" s="337">
        <v>28</v>
      </c>
      <c r="D61" s="338" t="s">
        <v>1504</v>
      </c>
      <c r="E61" s="337">
        <v>28</v>
      </c>
    </row>
    <row r="62" spans="1:5" ht="18" thickBot="1">
      <c r="A62" s="335" t="s">
        <v>1505</v>
      </c>
      <c r="B62" s="336" t="s">
        <v>1506</v>
      </c>
      <c r="C62" s="337">
        <v>27</v>
      </c>
      <c r="D62" s="338" t="s">
        <v>1507</v>
      </c>
      <c r="E62" s="337">
        <v>27</v>
      </c>
    </row>
    <row r="63" spans="1:5" ht="18" thickBot="1">
      <c r="A63" s="335" t="s">
        <v>1508</v>
      </c>
      <c r="B63" s="336" t="s">
        <v>1506</v>
      </c>
      <c r="C63" s="337">
        <v>20</v>
      </c>
      <c r="D63" s="338" t="s">
        <v>1524</v>
      </c>
      <c r="E63" s="337">
        <v>20</v>
      </c>
    </row>
    <row r="64" spans="1:5" ht="18" thickBot="1">
      <c r="A64" s="335" t="s">
        <v>1313</v>
      </c>
      <c r="B64" s="336" t="s">
        <v>1506</v>
      </c>
      <c r="C64" s="337">
        <v>27</v>
      </c>
      <c r="D64" s="338" t="s">
        <v>1509</v>
      </c>
      <c r="E64" s="337">
        <v>27</v>
      </c>
    </row>
    <row r="65" spans="1:5" ht="18" thickBot="1">
      <c r="A65" s="335" t="s">
        <v>1510</v>
      </c>
      <c r="B65" s="336" t="s">
        <v>388</v>
      </c>
      <c r="C65" s="337">
        <v>26</v>
      </c>
      <c r="D65" s="338" t="s">
        <v>1511</v>
      </c>
      <c r="E65" s="337">
        <v>26</v>
      </c>
    </row>
    <row r="66" spans="1:5" ht="18" thickBot="1">
      <c r="A66" s="335" t="s">
        <v>1512</v>
      </c>
      <c r="B66" s="336" t="s">
        <v>388</v>
      </c>
      <c r="C66" s="337">
        <v>25</v>
      </c>
      <c r="D66" s="338" t="s">
        <v>1513</v>
      </c>
      <c r="E66" s="337">
        <v>25</v>
      </c>
    </row>
    <row r="67" spans="1:5" ht="35.4" thickBot="1">
      <c r="A67" s="400" t="s">
        <v>1660</v>
      </c>
      <c r="B67" s="336" t="s">
        <v>388</v>
      </c>
      <c r="C67" s="337">
        <v>12</v>
      </c>
      <c r="D67" s="338" t="s">
        <v>1525</v>
      </c>
      <c r="E67" s="337">
        <v>24</v>
      </c>
    </row>
    <row r="68" spans="1:5" ht="18" thickBot="1">
      <c r="A68" s="335" t="s">
        <v>1320</v>
      </c>
      <c r="B68" s="336" t="s">
        <v>388</v>
      </c>
      <c r="C68" s="337">
        <v>24</v>
      </c>
      <c r="D68" s="338" t="s">
        <v>1514</v>
      </c>
      <c r="E68" s="337">
        <v>24</v>
      </c>
    </row>
    <row r="69" spans="1:5" ht="18" thickBot="1">
      <c r="A69" s="335" t="s">
        <v>1322</v>
      </c>
      <c r="B69" s="339" t="s">
        <v>1515</v>
      </c>
      <c r="C69" s="337">
        <v>24</v>
      </c>
      <c r="D69" s="338" t="s">
        <v>1516</v>
      </c>
      <c r="E69" s="337">
        <v>24</v>
      </c>
    </row>
    <row r="70" spans="1:5" ht="18" thickBot="1">
      <c r="A70" s="335" t="s">
        <v>1517</v>
      </c>
      <c r="B70" s="339" t="s">
        <v>1515</v>
      </c>
      <c r="C70" s="337">
        <v>24</v>
      </c>
      <c r="D70" s="338" t="s">
        <v>1518</v>
      </c>
      <c r="E70" s="337">
        <v>24</v>
      </c>
    </row>
    <row r="71" spans="1:5" ht="18" thickBot="1">
      <c r="A71" s="335" t="s">
        <v>1519</v>
      </c>
      <c r="B71" s="336" t="s">
        <v>302</v>
      </c>
      <c r="C71" s="337">
        <v>28</v>
      </c>
      <c r="D71" s="338" t="s">
        <v>1520</v>
      </c>
      <c r="E71" s="337">
        <v>28</v>
      </c>
    </row>
    <row r="72" spans="1:5" ht="18" thickBot="1">
      <c r="A72" s="335" t="s">
        <v>1658</v>
      </c>
      <c r="B72" s="336" t="s">
        <v>302</v>
      </c>
      <c r="C72" s="337">
        <v>13</v>
      </c>
      <c r="D72" s="338" t="s">
        <v>1526</v>
      </c>
      <c r="E72" s="337">
        <v>25</v>
      </c>
    </row>
    <row r="73" spans="1:5" ht="18" thickBot="1">
      <c r="A73" s="335" t="s">
        <v>1657</v>
      </c>
      <c r="B73" s="336" t="s">
        <v>1521</v>
      </c>
      <c r="C73" s="337">
        <v>13</v>
      </c>
      <c r="D73" s="338" t="s">
        <v>1527</v>
      </c>
      <c r="E73" s="337">
        <v>13</v>
      </c>
    </row>
    <row r="74" spans="1:5" ht="18" thickBot="1">
      <c r="A74" s="335" t="s">
        <v>1659</v>
      </c>
      <c r="B74" s="339" t="s">
        <v>1515</v>
      </c>
      <c r="C74" s="337">
        <v>18</v>
      </c>
      <c r="D74" s="338" t="s">
        <v>1661</v>
      </c>
      <c r="E74" s="337">
        <v>26</v>
      </c>
    </row>
    <row r="75" spans="1:5" ht="97.2" thickBot="1">
      <c r="A75" s="324" t="s">
        <v>89</v>
      </c>
      <c r="B75" s="325"/>
      <c r="C75" s="326"/>
      <c r="D75" s="327" t="s">
        <v>1522</v>
      </c>
      <c r="E75" s="328"/>
    </row>
  </sheetData>
  <mergeCells count="3">
    <mergeCell ref="B2:D2"/>
    <mergeCell ref="A25:E25"/>
    <mergeCell ref="A44:E44"/>
  </mergeCells>
  <printOptions horizontalCentered="1"/>
  <pageMargins left="0.70866141732283472" right="0.70866141732283472" top="0.74803149606299213" bottom="0.74803149606299213" header="0.31496062992125984" footer="0.31496062992125984"/>
  <pageSetup paperSize="9" scale="57" orientation="landscape" horizontalDpi="200" verticalDpi="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A1:E52"/>
  <sheetViews>
    <sheetView rightToLeft="1" zoomScale="80" zoomScaleNormal="80" workbookViewId="0">
      <selection sqref="A1:E1"/>
    </sheetView>
  </sheetViews>
  <sheetFormatPr defaultColWidth="8.796875" defaultRowHeight="17.399999999999999"/>
  <cols>
    <col min="1" max="1" width="42.796875" style="365" customWidth="1"/>
    <col min="2" max="2" width="17.69921875" style="363" customWidth="1"/>
    <col min="3" max="3" width="18.69921875" style="363" customWidth="1"/>
    <col min="4" max="4" width="201.19921875" style="363" customWidth="1"/>
    <col min="5" max="5" width="17.796875" style="363" customWidth="1"/>
    <col min="6" max="16384" width="8.796875" style="363"/>
  </cols>
  <sheetData>
    <row r="1" spans="1:5" ht="58.95" customHeight="1">
      <c r="A1" s="724" t="s">
        <v>1528</v>
      </c>
      <c r="B1" s="724"/>
      <c r="C1" s="724"/>
      <c r="D1" s="724"/>
      <c r="E1" s="724"/>
    </row>
    <row r="2" spans="1:5" ht="25.05" customHeight="1">
      <c r="A2" s="723" t="s">
        <v>86</v>
      </c>
      <c r="B2" s="723" t="s">
        <v>84</v>
      </c>
      <c r="C2" s="723" t="s">
        <v>1529</v>
      </c>
      <c r="D2" s="723" t="s">
        <v>26</v>
      </c>
      <c r="E2" s="723" t="s">
        <v>201</v>
      </c>
    </row>
    <row r="3" spans="1:5" ht="25.05" customHeight="1">
      <c r="A3" s="723"/>
      <c r="B3" s="723"/>
      <c r="C3" s="723"/>
      <c r="D3" s="723"/>
      <c r="E3" s="723"/>
    </row>
    <row r="4" spans="1:5" ht="39" customHeight="1">
      <c r="A4" s="342" t="s">
        <v>1530</v>
      </c>
      <c r="B4" s="343" t="s">
        <v>58</v>
      </c>
      <c r="C4" s="344">
        <v>24</v>
      </c>
      <c r="D4" s="345" t="s">
        <v>1531</v>
      </c>
      <c r="E4" s="346">
        <v>24</v>
      </c>
    </row>
    <row r="5" spans="1:5" ht="39" customHeight="1">
      <c r="A5" s="342" t="s">
        <v>1532</v>
      </c>
      <c r="B5" s="343" t="s">
        <v>1533</v>
      </c>
      <c r="C5" s="344">
        <v>24</v>
      </c>
      <c r="D5" s="345" t="s">
        <v>1560</v>
      </c>
      <c r="E5" s="346">
        <v>24</v>
      </c>
    </row>
    <row r="6" spans="1:5" ht="39" customHeight="1">
      <c r="A6" s="340" t="s">
        <v>1561</v>
      </c>
      <c r="B6" s="343" t="s">
        <v>159</v>
      </c>
      <c r="C6" s="344">
        <v>8</v>
      </c>
      <c r="D6" s="345" t="s">
        <v>1562</v>
      </c>
      <c r="E6" s="346">
        <v>24</v>
      </c>
    </row>
    <row r="7" spans="1:5" ht="39" customHeight="1">
      <c r="A7" s="340" t="s">
        <v>1563</v>
      </c>
      <c r="B7" s="347" t="s">
        <v>1533</v>
      </c>
      <c r="C7" s="344">
        <v>7</v>
      </c>
      <c r="D7" s="345" t="s">
        <v>1564</v>
      </c>
      <c r="E7" s="346">
        <v>24</v>
      </c>
    </row>
    <row r="8" spans="1:5" ht="39" customHeight="1">
      <c r="A8" s="342" t="s">
        <v>1534</v>
      </c>
      <c r="B8" s="347" t="s">
        <v>57</v>
      </c>
      <c r="C8" s="344">
        <v>24</v>
      </c>
      <c r="D8" s="345" t="s">
        <v>1535</v>
      </c>
      <c r="E8" s="346">
        <v>24</v>
      </c>
    </row>
    <row r="9" spans="1:5" ht="39" customHeight="1">
      <c r="A9" s="340" t="s">
        <v>1565</v>
      </c>
      <c r="B9" s="347" t="s">
        <v>53</v>
      </c>
      <c r="C9" s="344">
        <v>7</v>
      </c>
      <c r="D9" s="348" t="s">
        <v>1566</v>
      </c>
      <c r="E9" s="346">
        <v>24</v>
      </c>
    </row>
    <row r="10" spans="1:5" ht="39" customHeight="1">
      <c r="A10" s="340" t="s">
        <v>1567</v>
      </c>
      <c r="B10" s="347" t="s">
        <v>58</v>
      </c>
      <c r="C10" s="344">
        <v>3</v>
      </c>
      <c r="D10" s="348" t="s">
        <v>1568</v>
      </c>
      <c r="E10" s="346">
        <v>25</v>
      </c>
    </row>
    <row r="11" spans="1:5" ht="39" customHeight="1">
      <c r="A11" s="344" t="s">
        <v>1536</v>
      </c>
      <c r="B11" s="349" t="s">
        <v>1324</v>
      </c>
      <c r="C11" s="344">
        <v>25</v>
      </c>
      <c r="D11" s="345" t="s">
        <v>1537</v>
      </c>
      <c r="E11" s="346">
        <v>25</v>
      </c>
    </row>
    <row r="12" spans="1:5" ht="39" customHeight="1">
      <c r="A12" s="344" t="s">
        <v>1538</v>
      </c>
      <c r="B12" s="349" t="s">
        <v>1324</v>
      </c>
      <c r="C12" s="344">
        <v>24</v>
      </c>
      <c r="D12" s="345" t="s">
        <v>1539</v>
      </c>
      <c r="E12" s="346">
        <v>24</v>
      </c>
    </row>
    <row r="13" spans="1:5" ht="39" customHeight="1">
      <c r="A13" s="344" t="s">
        <v>1540</v>
      </c>
      <c r="B13" s="344" t="s">
        <v>57</v>
      </c>
      <c r="C13" s="344">
        <v>24</v>
      </c>
      <c r="D13" s="345" t="s">
        <v>1569</v>
      </c>
      <c r="E13" s="346">
        <v>24</v>
      </c>
    </row>
    <row r="14" spans="1:5" ht="39" customHeight="1">
      <c r="A14" s="340" t="s">
        <v>1570</v>
      </c>
      <c r="B14" s="344" t="s">
        <v>57</v>
      </c>
      <c r="C14" s="344">
        <v>6</v>
      </c>
      <c r="D14" s="345" t="s">
        <v>1571</v>
      </c>
      <c r="E14" s="346">
        <v>24</v>
      </c>
    </row>
    <row r="15" spans="1:5" ht="39" customHeight="1">
      <c r="A15" s="340" t="s">
        <v>1572</v>
      </c>
      <c r="B15" s="344" t="s">
        <v>77</v>
      </c>
      <c r="C15" s="344">
        <v>2</v>
      </c>
      <c r="D15" s="345" t="s">
        <v>1573</v>
      </c>
      <c r="E15" s="346">
        <v>25</v>
      </c>
    </row>
    <row r="16" spans="1:5" ht="39" customHeight="1">
      <c r="A16" s="340" t="s">
        <v>1574</v>
      </c>
      <c r="B16" s="344" t="s">
        <v>85</v>
      </c>
      <c r="C16" s="344">
        <v>1</v>
      </c>
      <c r="D16" s="345" t="s">
        <v>1575</v>
      </c>
      <c r="E16" s="346">
        <v>24</v>
      </c>
    </row>
    <row r="17" spans="1:5" ht="39" customHeight="1">
      <c r="A17" s="340" t="s">
        <v>1576</v>
      </c>
      <c r="B17" s="344" t="s">
        <v>53</v>
      </c>
      <c r="C17" s="344">
        <v>2</v>
      </c>
      <c r="D17" s="345" t="s">
        <v>1577</v>
      </c>
      <c r="E17" s="346">
        <v>24</v>
      </c>
    </row>
    <row r="18" spans="1:5" ht="39" customHeight="1">
      <c r="A18" s="340" t="s">
        <v>1578</v>
      </c>
      <c r="B18" s="344" t="s">
        <v>57</v>
      </c>
      <c r="C18" s="344">
        <v>6</v>
      </c>
      <c r="D18" s="345" t="s">
        <v>1579</v>
      </c>
      <c r="E18" s="346">
        <v>24</v>
      </c>
    </row>
    <row r="19" spans="1:5" ht="39" customHeight="1">
      <c r="A19" s="344" t="s">
        <v>1541</v>
      </c>
      <c r="B19" s="344" t="s">
        <v>68</v>
      </c>
      <c r="C19" s="344">
        <v>20</v>
      </c>
      <c r="D19" s="345" t="s">
        <v>1580</v>
      </c>
      <c r="E19" s="346">
        <v>24</v>
      </c>
    </row>
    <row r="20" spans="1:5" ht="39" customHeight="1">
      <c r="A20" s="344" t="s">
        <v>1542</v>
      </c>
      <c r="B20" s="343" t="s">
        <v>58</v>
      </c>
      <c r="C20" s="344">
        <v>20</v>
      </c>
      <c r="D20" s="345" t="s">
        <v>1581</v>
      </c>
      <c r="E20" s="346">
        <v>24</v>
      </c>
    </row>
    <row r="21" spans="1:5" ht="39" customHeight="1" thickBot="1">
      <c r="A21" s="342" t="s">
        <v>1543</v>
      </c>
      <c r="B21" s="343" t="s">
        <v>62</v>
      </c>
      <c r="C21" s="344">
        <v>18</v>
      </c>
      <c r="D21" s="345" t="s">
        <v>1582</v>
      </c>
      <c r="E21" s="346">
        <v>24</v>
      </c>
    </row>
    <row r="22" spans="1:5" ht="42" customHeight="1" thickBot="1">
      <c r="A22" s="350" t="s">
        <v>89</v>
      </c>
      <c r="B22" s="364">
        <v>245</v>
      </c>
      <c r="C22" s="364">
        <f>SUM(C4:C21)</f>
        <v>245</v>
      </c>
      <c r="D22" s="351" t="s">
        <v>1544</v>
      </c>
      <c r="E22" s="352"/>
    </row>
    <row r="23" spans="1:5" ht="48" customHeight="1">
      <c r="A23" s="722" t="s">
        <v>200</v>
      </c>
      <c r="B23" s="722"/>
      <c r="C23" s="722"/>
      <c r="D23" s="722"/>
      <c r="E23" s="722"/>
    </row>
    <row r="24" spans="1:5" ht="14.25" customHeight="1">
      <c r="A24" s="723" t="s">
        <v>86</v>
      </c>
      <c r="B24" s="723" t="s">
        <v>84</v>
      </c>
      <c r="C24" s="723" t="s">
        <v>1529</v>
      </c>
      <c r="D24" s="723" t="s">
        <v>26</v>
      </c>
      <c r="E24" s="723" t="s">
        <v>201</v>
      </c>
    </row>
    <row r="25" spans="1:5" ht="37.5" customHeight="1">
      <c r="A25" s="723"/>
      <c r="B25" s="723"/>
      <c r="C25" s="723"/>
      <c r="D25" s="723"/>
      <c r="E25" s="723"/>
    </row>
    <row r="26" spans="1:5" ht="39" customHeight="1">
      <c r="A26" s="340" t="s">
        <v>1583</v>
      </c>
      <c r="B26" s="343" t="s">
        <v>62</v>
      </c>
      <c r="C26" s="353">
        <v>6</v>
      </c>
      <c r="D26" s="345" t="s">
        <v>1584</v>
      </c>
      <c r="E26" s="346">
        <v>24</v>
      </c>
    </row>
    <row r="27" spans="1:5" ht="39" customHeight="1">
      <c r="A27" s="344" t="s">
        <v>1545</v>
      </c>
      <c r="B27" s="343" t="s">
        <v>91</v>
      </c>
      <c r="C27" s="353">
        <v>11</v>
      </c>
      <c r="D27" s="345" t="s">
        <v>1585</v>
      </c>
      <c r="E27" s="346">
        <v>24</v>
      </c>
    </row>
    <row r="28" spans="1:5" ht="39" customHeight="1">
      <c r="A28" s="354" t="s">
        <v>1586</v>
      </c>
      <c r="B28" s="347" t="s">
        <v>159</v>
      </c>
      <c r="C28" s="353">
        <v>6</v>
      </c>
      <c r="D28" s="345" t="s">
        <v>1587</v>
      </c>
      <c r="E28" s="346">
        <v>24</v>
      </c>
    </row>
    <row r="29" spans="1:5" ht="39" customHeight="1">
      <c r="A29" s="354" t="s">
        <v>1588</v>
      </c>
      <c r="B29" s="347" t="s">
        <v>68</v>
      </c>
      <c r="C29" s="353">
        <v>4</v>
      </c>
      <c r="D29" s="345" t="s">
        <v>1589</v>
      </c>
      <c r="E29" s="346">
        <v>24</v>
      </c>
    </row>
    <row r="30" spans="1:5" ht="39" customHeight="1">
      <c r="A30" s="355" t="s">
        <v>1546</v>
      </c>
      <c r="B30" s="347" t="s">
        <v>57</v>
      </c>
      <c r="C30" s="353">
        <v>18</v>
      </c>
      <c r="D30" s="345" t="s">
        <v>1590</v>
      </c>
      <c r="E30" s="346">
        <v>24</v>
      </c>
    </row>
    <row r="31" spans="1:5" ht="39" customHeight="1">
      <c r="A31" s="354" t="s">
        <v>1591</v>
      </c>
      <c r="B31" s="347" t="s">
        <v>1547</v>
      </c>
      <c r="C31" s="353">
        <v>5</v>
      </c>
      <c r="D31" s="345" t="s">
        <v>1592</v>
      </c>
      <c r="E31" s="346">
        <v>24</v>
      </c>
    </row>
    <row r="32" spans="1:5" ht="39" customHeight="1">
      <c r="A32" s="354" t="s">
        <v>1593</v>
      </c>
      <c r="B32" s="347" t="s">
        <v>156</v>
      </c>
      <c r="C32" s="353">
        <v>4</v>
      </c>
      <c r="D32" s="345" t="s">
        <v>1594</v>
      </c>
      <c r="E32" s="346">
        <v>24</v>
      </c>
    </row>
    <row r="33" spans="1:5" ht="39" customHeight="1">
      <c r="A33" s="354" t="s">
        <v>1574</v>
      </c>
      <c r="B33" s="347" t="s">
        <v>85</v>
      </c>
      <c r="C33" s="353">
        <v>5</v>
      </c>
      <c r="D33" s="345" t="s">
        <v>1595</v>
      </c>
      <c r="E33" s="346">
        <v>24</v>
      </c>
    </row>
    <row r="34" spans="1:5" ht="39" customHeight="1">
      <c r="A34" s="354" t="s">
        <v>1596</v>
      </c>
      <c r="B34" s="347" t="s">
        <v>58</v>
      </c>
      <c r="C34" s="353">
        <v>5</v>
      </c>
      <c r="D34" s="345" t="s">
        <v>1597</v>
      </c>
      <c r="E34" s="346">
        <v>24</v>
      </c>
    </row>
    <row r="35" spans="1:5" ht="39" customHeight="1">
      <c r="A35" s="355" t="s">
        <v>1548</v>
      </c>
      <c r="B35" s="347" t="s">
        <v>58</v>
      </c>
      <c r="C35" s="353">
        <v>11</v>
      </c>
      <c r="D35" s="345" t="s">
        <v>1598</v>
      </c>
      <c r="E35" s="346">
        <v>25</v>
      </c>
    </row>
    <row r="36" spans="1:5" ht="39" customHeight="1">
      <c r="A36" s="356" t="s">
        <v>1549</v>
      </c>
      <c r="B36" s="347" t="s">
        <v>53</v>
      </c>
      <c r="C36" s="353">
        <v>17</v>
      </c>
      <c r="D36" s="348" t="s">
        <v>1599</v>
      </c>
      <c r="E36" s="346">
        <v>24</v>
      </c>
    </row>
    <row r="37" spans="1:5" ht="39" customHeight="1" thickBot="1">
      <c r="A37" s="344" t="s">
        <v>1550</v>
      </c>
      <c r="B37" s="347" t="s">
        <v>1533</v>
      </c>
      <c r="C37" s="353">
        <v>13</v>
      </c>
      <c r="D37" s="345" t="s">
        <v>1600</v>
      </c>
      <c r="E37" s="346">
        <v>24</v>
      </c>
    </row>
    <row r="38" spans="1:5" ht="43.05" customHeight="1" thickBot="1">
      <c r="A38" s="350" t="s">
        <v>89</v>
      </c>
      <c r="B38" s="352">
        <v>105</v>
      </c>
      <c r="C38" s="357">
        <f>SUM(C26:C37)</f>
        <v>105</v>
      </c>
      <c r="D38" s="351"/>
      <c r="E38" s="352"/>
    </row>
    <row r="39" spans="1:5" ht="46.95" customHeight="1">
      <c r="A39" s="722" t="s">
        <v>203</v>
      </c>
      <c r="B39" s="722"/>
      <c r="C39" s="722"/>
      <c r="D39" s="722"/>
      <c r="E39" s="722"/>
    </row>
    <row r="40" spans="1:5" ht="49.5" customHeight="1">
      <c r="A40" s="341" t="s">
        <v>86</v>
      </c>
      <c r="B40" s="341" t="s">
        <v>84</v>
      </c>
      <c r="C40" s="341" t="s">
        <v>87</v>
      </c>
      <c r="D40" s="341" t="s">
        <v>204</v>
      </c>
      <c r="E40" s="341" t="s">
        <v>88</v>
      </c>
    </row>
    <row r="41" spans="1:5" ht="39" customHeight="1">
      <c r="A41" s="340" t="s">
        <v>1601</v>
      </c>
      <c r="B41" s="343" t="s">
        <v>91</v>
      </c>
      <c r="C41" s="353">
        <v>13</v>
      </c>
      <c r="D41" s="345" t="s">
        <v>1602</v>
      </c>
      <c r="E41" s="346">
        <v>24</v>
      </c>
    </row>
    <row r="42" spans="1:5" ht="39" customHeight="1">
      <c r="A42" s="358" t="s">
        <v>1551</v>
      </c>
      <c r="B42" s="343" t="s">
        <v>53</v>
      </c>
      <c r="C42" s="353">
        <v>22</v>
      </c>
      <c r="D42" s="345" t="s">
        <v>1603</v>
      </c>
      <c r="E42" s="346">
        <v>24</v>
      </c>
    </row>
    <row r="43" spans="1:5" ht="39" customHeight="1">
      <c r="A43" s="344" t="s">
        <v>1552</v>
      </c>
      <c r="B43" s="343" t="s">
        <v>1533</v>
      </c>
      <c r="C43" s="353">
        <v>19</v>
      </c>
      <c r="D43" s="345" t="s">
        <v>1604</v>
      </c>
      <c r="E43" s="346">
        <v>24</v>
      </c>
    </row>
    <row r="44" spans="1:5" ht="39" customHeight="1">
      <c r="A44" s="342" t="s">
        <v>1553</v>
      </c>
      <c r="B44" s="344" t="s">
        <v>57</v>
      </c>
      <c r="C44" s="353">
        <v>25</v>
      </c>
      <c r="D44" s="345" t="s">
        <v>1554</v>
      </c>
      <c r="E44" s="346">
        <v>25</v>
      </c>
    </row>
    <row r="45" spans="1:5" ht="39" customHeight="1">
      <c r="A45" s="342" t="s">
        <v>1555</v>
      </c>
      <c r="B45" s="344" t="s">
        <v>57</v>
      </c>
      <c r="C45" s="353">
        <v>18</v>
      </c>
      <c r="D45" s="345" t="s">
        <v>1605</v>
      </c>
      <c r="E45" s="346">
        <v>24</v>
      </c>
    </row>
    <row r="46" spans="1:5" ht="39" customHeight="1">
      <c r="A46" s="342" t="s">
        <v>1556</v>
      </c>
      <c r="B46" s="343" t="s">
        <v>85</v>
      </c>
      <c r="C46" s="353">
        <v>18</v>
      </c>
      <c r="D46" s="345" t="s">
        <v>1606</v>
      </c>
      <c r="E46" s="346">
        <v>24</v>
      </c>
    </row>
    <row r="47" spans="1:5" ht="39" customHeight="1">
      <c r="A47" s="359" t="s">
        <v>1557</v>
      </c>
      <c r="B47" s="343" t="s">
        <v>77</v>
      </c>
      <c r="C47" s="353">
        <v>23</v>
      </c>
      <c r="D47" s="345" t="s">
        <v>1607</v>
      </c>
      <c r="E47" s="346">
        <v>25</v>
      </c>
    </row>
    <row r="48" spans="1:5" ht="39" customHeight="1">
      <c r="A48" s="342" t="s">
        <v>1558</v>
      </c>
      <c r="B48" s="343" t="s">
        <v>83</v>
      </c>
      <c r="C48" s="353">
        <v>20</v>
      </c>
      <c r="D48" s="345" t="s">
        <v>1608</v>
      </c>
      <c r="E48" s="346">
        <v>24</v>
      </c>
    </row>
    <row r="49" spans="1:5" ht="39" customHeight="1">
      <c r="A49" s="340" t="s">
        <v>1609</v>
      </c>
      <c r="B49" s="343" t="s">
        <v>58</v>
      </c>
      <c r="C49" s="353">
        <v>11</v>
      </c>
      <c r="D49" s="345" t="s">
        <v>1610</v>
      </c>
      <c r="E49" s="346">
        <v>25</v>
      </c>
    </row>
    <row r="50" spans="1:5" ht="39" customHeight="1">
      <c r="A50" s="342" t="s">
        <v>1611</v>
      </c>
      <c r="B50" s="343" t="s">
        <v>58</v>
      </c>
      <c r="C50" s="353">
        <v>19</v>
      </c>
      <c r="D50" s="345" t="s">
        <v>1612</v>
      </c>
      <c r="E50" s="346">
        <v>24</v>
      </c>
    </row>
    <row r="51" spans="1:5" ht="39" customHeight="1">
      <c r="A51" s="360" t="s">
        <v>1613</v>
      </c>
      <c r="B51" s="347" t="s">
        <v>159</v>
      </c>
      <c r="C51" s="353">
        <v>10</v>
      </c>
      <c r="D51" s="345" t="s">
        <v>1614</v>
      </c>
      <c r="E51" s="346">
        <v>24</v>
      </c>
    </row>
    <row r="52" spans="1:5" ht="49.05" customHeight="1">
      <c r="A52" s="361" t="s">
        <v>89</v>
      </c>
      <c r="B52" s="352">
        <v>198</v>
      </c>
      <c r="C52" s="352">
        <f>SUM(C41:C51)</f>
        <v>198</v>
      </c>
      <c r="D52" s="362" t="s">
        <v>1559</v>
      </c>
      <c r="E52" s="352"/>
    </row>
  </sheetData>
  <mergeCells count="13">
    <mergeCell ref="A1:E1"/>
    <mergeCell ref="A2:A3"/>
    <mergeCell ref="B2:B3"/>
    <mergeCell ref="C2:C3"/>
    <mergeCell ref="D2:D3"/>
    <mergeCell ref="E2:E3"/>
    <mergeCell ref="A39:E39"/>
    <mergeCell ref="A23:E23"/>
    <mergeCell ref="A24:A25"/>
    <mergeCell ref="B24:B25"/>
    <mergeCell ref="C24:C25"/>
    <mergeCell ref="D24:D25"/>
    <mergeCell ref="E24:E25"/>
  </mergeCells>
  <pageMargins left="0.15748031496062992" right="0.15748031496062992" top="0.15748031496062992" bottom="0.15748031496062992" header="0.15748031496062992" footer="0.15748031496062992"/>
  <pageSetup paperSize="9" scale="65" orientation="landscape" horizontalDpi="200" verticalDpi="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sheetPr>
  <dimension ref="A1:F14"/>
  <sheetViews>
    <sheetView rightToLeft="1" workbookViewId="0">
      <selection sqref="A1:F1"/>
    </sheetView>
  </sheetViews>
  <sheetFormatPr defaultColWidth="8.796875" defaultRowHeight="13.8"/>
  <cols>
    <col min="1" max="1" width="16.5" customWidth="1"/>
    <col min="2" max="2" width="13.296875" customWidth="1"/>
    <col min="3" max="3" width="23.296875" customWidth="1"/>
    <col min="4" max="4" width="27.69921875" customWidth="1"/>
    <col min="5" max="5" width="30.5" customWidth="1"/>
    <col min="6" max="6" width="36.796875" customWidth="1"/>
    <col min="7" max="7" width="15.19921875" customWidth="1"/>
    <col min="8" max="8" width="11.19921875" customWidth="1"/>
  </cols>
  <sheetData>
    <row r="1" spans="1:6" ht="31.2" thickTop="1" thickBot="1">
      <c r="A1" s="730" t="s">
        <v>1690</v>
      </c>
      <c r="B1" s="731"/>
      <c r="C1" s="731"/>
      <c r="D1" s="731"/>
      <c r="E1" s="731"/>
      <c r="F1" s="732"/>
    </row>
    <row r="2" spans="1:6" ht="44.4" thickTop="1" thickBot="1">
      <c r="A2" s="1" t="s">
        <v>0</v>
      </c>
      <c r="B2" s="2" t="s">
        <v>25</v>
      </c>
      <c r="C2" s="2" t="s">
        <v>31</v>
      </c>
      <c r="D2" s="6" t="s">
        <v>32</v>
      </c>
      <c r="E2" s="2" t="s">
        <v>33</v>
      </c>
      <c r="F2" s="2" t="s">
        <v>26</v>
      </c>
    </row>
    <row r="3" spans="1:6" ht="25.8" thickTop="1" thickBot="1">
      <c r="A3" s="71" t="s">
        <v>27</v>
      </c>
      <c r="B3" s="14" t="s">
        <v>3</v>
      </c>
      <c r="C3" s="7">
        <v>80</v>
      </c>
      <c r="D3" s="7">
        <f>'إحصاء الطلاب'!I6</f>
        <v>43</v>
      </c>
      <c r="E3" s="11">
        <f>D3/C3</f>
        <v>0.53749999999999998</v>
      </c>
      <c r="F3" s="3"/>
    </row>
    <row r="4" spans="1:6" ht="25.8" thickTop="1" thickBot="1">
      <c r="A4" s="725" t="s">
        <v>28</v>
      </c>
      <c r="B4" s="15" t="s">
        <v>5</v>
      </c>
      <c r="C4" s="8">
        <v>0</v>
      </c>
      <c r="D4" s="8">
        <v>0</v>
      </c>
      <c r="E4" s="12">
        <v>0</v>
      </c>
      <c r="F4" s="4"/>
    </row>
    <row r="5" spans="1:6" ht="25.8" thickTop="1" thickBot="1">
      <c r="A5" s="726"/>
      <c r="B5" s="16" t="s">
        <v>3</v>
      </c>
      <c r="C5" s="9">
        <v>300</v>
      </c>
      <c r="D5" s="9">
        <f>'إحصاء الطلاب'!I17</f>
        <v>112</v>
      </c>
      <c r="E5" s="11">
        <f t="shared" ref="E5:E10" si="0">D5/C5</f>
        <v>0.37333333333333335</v>
      </c>
      <c r="F5" s="5"/>
    </row>
    <row r="6" spans="1:6" ht="25.2" thickBot="1">
      <c r="A6" s="727" t="s">
        <v>29</v>
      </c>
      <c r="B6" s="17" t="s">
        <v>5</v>
      </c>
      <c r="C6" s="152">
        <f>'مساحات الفصول'!Q32</f>
        <v>172</v>
      </c>
      <c r="D6" s="8">
        <f>'إحصاء الطلاب'!I21</f>
        <v>61</v>
      </c>
      <c r="E6" s="12">
        <f t="shared" si="0"/>
        <v>0.35465116279069769</v>
      </c>
      <c r="F6" s="4"/>
    </row>
    <row r="7" spans="1:6" ht="25.2" thickBot="1">
      <c r="A7" s="726"/>
      <c r="B7" s="16" t="s">
        <v>3</v>
      </c>
      <c r="C7" s="7">
        <v>150</v>
      </c>
      <c r="D7" s="7">
        <f>'إحصاء الطلاب'!I25</f>
        <v>69</v>
      </c>
      <c r="E7" s="11">
        <f t="shared" si="0"/>
        <v>0.46</v>
      </c>
      <c r="F7" s="3"/>
    </row>
    <row r="8" spans="1:6" ht="25.2" thickBot="1">
      <c r="A8" s="727" t="s">
        <v>30</v>
      </c>
      <c r="B8" s="17" t="s">
        <v>5</v>
      </c>
      <c r="C8" s="152">
        <f>'مساحات الفصول'!Q47</f>
        <v>23.333333333333332</v>
      </c>
      <c r="D8" s="8">
        <f>'إحصاء الطلاب'!I29</f>
        <v>14</v>
      </c>
      <c r="E8" s="12">
        <f t="shared" si="0"/>
        <v>0.6</v>
      </c>
      <c r="F8" s="4"/>
    </row>
    <row r="9" spans="1:6" ht="25.2" thickBot="1">
      <c r="A9" s="726"/>
      <c r="B9" s="16" t="s">
        <v>3</v>
      </c>
      <c r="C9" s="7">
        <v>450</v>
      </c>
      <c r="D9" s="7">
        <f>'إحصاء الطلاب'!I40</f>
        <v>0</v>
      </c>
      <c r="E9" s="11">
        <f t="shared" si="0"/>
        <v>0</v>
      </c>
      <c r="F9" s="3"/>
    </row>
    <row r="10" spans="1:6" ht="25.2" thickBot="1">
      <c r="A10" s="728" t="s">
        <v>383</v>
      </c>
      <c r="B10" s="729"/>
      <c r="C10" s="153">
        <f>SUM(C3:C9)</f>
        <v>1175.3333333333335</v>
      </c>
      <c r="D10" s="13">
        <f>SUM(D3:D9)</f>
        <v>299</v>
      </c>
      <c r="E10" s="18">
        <f t="shared" si="0"/>
        <v>0.25439591605218376</v>
      </c>
      <c r="F10" s="10"/>
    </row>
    <row r="11" spans="1:6" ht="14.4" thickTop="1"/>
    <row r="14" spans="1:6" ht="12.75" customHeight="1">
      <c r="C14" s="26"/>
    </row>
  </sheetData>
  <mergeCells count="5">
    <mergeCell ref="A4:A5"/>
    <mergeCell ref="A6:A7"/>
    <mergeCell ref="A8:A9"/>
    <mergeCell ref="A10:B10"/>
    <mergeCell ref="A1:F1"/>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sheetPr>
  <dimension ref="B1:F30"/>
  <sheetViews>
    <sheetView rightToLeft="1" workbookViewId="0"/>
  </sheetViews>
  <sheetFormatPr defaultColWidth="9" defaultRowHeight="13.8"/>
  <cols>
    <col min="1" max="1" width="2" style="366" customWidth="1"/>
    <col min="2" max="2" width="18.296875" style="366" customWidth="1"/>
    <col min="3" max="3" width="30.5" style="366" customWidth="1"/>
    <col min="4" max="4" width="12.296875" style="366" customWidth="1"/>
    <col min="5" max="5" width="12.19921875" style="366" customWidth="1"/>
    <col min="6" max="6" width="14.296875" style="366" customWidth="1"/>
    <col min="7" max="7" width="11.69921875" style="366" bestFit="1" customWidth="1"/>
    <col min="8" max="8" width="15.296875" style="366" bestFit="1" customWidth="1"/>
    <col min="9" max="9" width="8.19921875" style="366" bestFit="1" customWidth="1"/>
    <col min="10" max="10" width="11.19921875" style="366" bestFit="1" customWidth="1"/>
    <col min="11" max="11" width="9" style="366" bestFit="1" customWidth="1"/>
    <col min="12" max="12" width="14.19921875" style="366" customWidth="1"/>
    <col min="13" max="13" width="14" style="366" customWidth="1"/>
    <col min="14" max="14" width="9" style="366"/>
    <col min="15" max="15" width="29.19921875" style="366" customWidth="1"/>
    <col min="16" max="16" width="11.796875" style="366" customWidth="1"/>
    <col min="17" max="16384" width="9" style="366"/>
  </cols>
  <sheetData>
    <row r="1" spans="2:6" ht="34.049999999999997" customHeight="1">
      <c r="B1" s="736" t="s">
        <v>1615</v>
      </c>
      <c r="C1" s="736"/>
      <c r="D1" s="736"/>
      <c r="E1" s="736"/>
      <c r="F1" s="736"/>
    </row>
    <row r="2" spans="2:6" ht="17.399999999999999">
      <c r="B2" s="367" t="s">
        <v>366</v>
      </c>
      <c r="C2" s="367" t="s">
        <v>110</v>
      </c>
      <c r="D2" s="367" t="s">
        <v>367</v>
      </c>
      <c r="E2" s="367" t="s">
        <v>368</v>
      </c>
      <c r="F2" s="367" t="s">
        <v>369</v>
      </c>
    </row>
    <row r="3" spans="2:6" ht="25.05" customHeight="1">
      <c r="B3" s="737" t="s">
        <v>212</v>
      </c>
      <c r="C3" s="372" t="s">
        <v>362</v>
      </c>
      <c r="D3" s="368">
        <v>0</v>
      </c>
      <c r="E3" s="368">
        <v>1</v>
      </c>
      <c r="F3" s="369">
        <f>SUM(D3:E3)</f>
        <v>1</v>
      </c>
    </row>
    <row r="4" spans="2:6" ht="25.05" customHeight="1">
      <c r="B4" s="738"/>
      <c r="C4" s="372" t="s">
        <v>363</v>
      </c>
      <c r="D4" s="368">
        <v>1</v>
      </c>
      <c r="E4" s="368">
        <v>0</v>
      </c>
      <c r="F4" s="369">
        <f t="shared" ref="F4:F12" si="0">SUM(D4:E4)</f>
        <v>1</v>
      </c>
    </row>
    <row r="5" spans="2:6" ht="25.05" customHeight="1">
      <c r="B5" s="738"/>
      <c r="C5" s="372" t="s">
        <v>193</v>
      </c>
      <c r="D5" s="368">
        <v>1</v>
      </c>
      <c r="E5" s="368">
        <v>1</v>
      </c>
      <c r="F5" s="369">
        <f t="shared" si="0"/>
        <v>2</v>
      </c>
    </row>
    <row r="6" spans="2:6" ht="25.05" customHeight="1">
      <c r="B6" s="738"/>
      <c r="C6" s="372" t="s">
        <v>71</v>
      </c>
      <c r="D6" s="368">
        <v>3</v>
      </c>
      <c r="E6" s="368">
        <v>2</v>
      </c>
      <c r="F6" s="369">
        <f t="shared" si="0"/>
        <v>5</v>
      </c>
    </row>
    <row r="7" spans="2:6" ht="25.05" customHeight="1">
      <c r="B7" s="738"/>
      <c r="C7" s="372" t="s">
        <v>52</v>
      </c>
      <c r="D7" s="368">
        <v>3</v>
      </c>
      <c r="E7" s="368">
        <v>2</v>
      </c>
      <c r="F7" s="369">
        <f t="shared" si="0"/>
        <v>5</v>
      </c>
    </row>
    <row r="8" spans="2:6" ht="25.05" customHeight="1">
      <c r="B8" s="738"/>
      <c r="C8" s="372" t="s">
        <v>72</v>
      </c>
      <c r="D8" s="368">
        <v>1</v>
      </c>
      <c r="E8" s="368">
        <v>1</v>
      </c>
      <c r="F8" s="369">
        <f t="shared" si="0"/>
        <v>2</v>
      </c>
    </row>
    <row r="9" spans="2:6" ht="25.05" customHeight="1">
      <c r="B9" s="738"/>
      <c r="C9" s="372" t="s">
        <v>155</v>
      </c>
      <c r="D9" s="368">
        <v>2</v>
      </c>
      <c r="E9" s="368">
        <v>0</v>
      </c>
      <c r="F9" s="369">
        <f t="shared" si="0"/>
        <v>2</v>
      </c>
    </row>
    <row r="10" spans="2:6" ht="25.05" customHeight="1">
      <c r="B10" s="738"/>
      <c r="C10" s="372" t="s">
        <v>158</v>
      </c>
      <c r="D10" s="368">
        <v>0</v>
      </c>
      <c r="E10" s="368">
        <v>1</v>
      </c>
      <c r="F10" s="369">
        <f t="shared" si="0"/>
        <v>1</v>
      </c>
    </row>
    <row r="11" spans="2:6" ht="25.05" customHeight="1">
      <c r="B11" s="738"/>
      <c r="C11" s="372" t="s">
        <v>1616</v>
      </c>
      <c r="D11" s="368">
        <v>1</v>
      </c>
      <c r="E11" s="368">
        <v>1</v>
      </c>
      <c r="F11" s="369">
        <f t="shared" si="0"/>
        <v>2</v>
      </c>
    </row>
    <row r="12" spans="2:6" ht="25.05" customHeight="1">
      <c r="B12" s="739"/>
      <c r="C12" s="372" t="s">
        <v>157</v>
      </c>
      <c r="D12" s="368">
        <v>1</v>
      </c>
      <c r="E12" s="368">
        <v>1</v>
      </c>
      <c r="F12" s="369">
        <f t="shared" si="0"/>
        <v>2</v>
      </c>
    </row>
    <row r="13" spans="2:6" ht="25.05" customHeight="1">
      <c r="B13" s="740" t="s">
        <v>1617</v>
      </c>
      <c r="C13" s="654"/>
      <c r="D13" s="370">
        <f>SUM(D3:D12)</f>
        <v>13</v>
      </c>
      <c r="E13" s="370">
        <f t="shared" ref="E13:F13" si="1">SUM(E3:E12)</f>
        <v>10</v>
      </c>
      <c r="F13" s="370">
        <f t="shared" si="1"/>
        <v>23</v>
      </c>
    </row>
    <row r="14" spans="2:6" ht="7.95" customHeight="1">
      <c r="B14" s="741"/>
      <c r="C14" s="741"/>
      <c r="D14" s="741"/>
      <c r="E14" s="741"/>
      <c r="F14" s="742"/>
    </row>
    <row r="15" spans="2:6" ht="28.05" customHeight="1">
      <c r="B15" s="733" t="s">
        <v>1619</v>
      </c>
      <c r="C15" s="372" t="s">
        <v>145</v>
      </c>
      <c r="D15" s="368">
        <v>0</v>
      </c>
      <c r="E15" s="368">
        <v>2</v>
      </c>
      <c r="F15" s="369">
        <f>SUM(D15:E15)</f>
        <v>2</v>
      </c>
    </row>
    <row r="16" spans="2:6" ht="25.05" customHeight="1">
      <c r="B16" s="734"/>
      <c r="C16" s="372" t="s">
        <v>470</v>
      </c>
      <c r="D16" s="368">
        <v>4</v>
      </c>
      <c r="E16" s="368">
        <v>0</v>
      </c>
      <c r="F16" s="369">
        <f t="shared" ref="F16:F29" si="2">SUM(D16:E16)</f>
        <v>4</v>
      </c>
    </row>
    <row r="17" spans="2:6" ht="25.05" customHeight="1">
      <c r="B17" s="734"/>
      <c r="C17" s="372" t="s">
        <v>53</v>
      </c>
      <c r="D17" s="368">
        <v>8</v>
      </c>
      <c r="E17" s="368">
        <v>4</v>
      </c>
      <c r="F17" s="369">
        <f t="shared" si="2"/>
        <v>12</v>
      </c>
    </row>
    <row r="18" spans="2:6" ht="25.05" customHeight="1">
      <c r="B18" s="734"/>
      <c r="C18" s="372" t="s">
        <v>79</v>
      </c>
      <c r="D18" s="368">
        <v>8</v>
      </c>
      <c r="E18" s="368">
        <v>4</v>
      </c>
      <c r="F18" s="369">
        <f t="shared" si="2"/>
        <v>12</v>
      </c>
    </row>
    <row r="19" spans="2:6" ht="25.05" customHeight="1">
      <c r="B19" s="734"/>
      <c r="C19" s="372" t="s">
        <v>57</v>
      </c>
      <c r="D19" s="368">
        <v>9</v>
      </c>
      <c r="E19" s="368">
        <v>4</v>
      </c>
      <c r="F19" s="369">
        <f t="shared" si="2"/>
        <v>13</v>
      </c>
    </row>
    <row r="20" spans="2:6" ht="25.05" customHeight="1">
      <c r="B20" s="734"/>
      <c r="C20" s="372" t="s">
        <v>85</v>
      </c>
      <c r="D20" s="368">
        <v>3</v>
      </c>
      <c r="E20" s="368">
        <v>1</v>
      </c>
      <c r="F20" s="369">
        <f t="shared" si="2"/>
        <v>4</v>
      </c>
    </row>
    <row r="21" spans="2:6" ht="25.05" customHeight="1">
      <c r="B21" s="734"/>
      <c r="C21" s="372" t="s">
        <v>156</v>
      </c>
      <c r="D21" s="368">
        <v>3</v>
      </c>
      <c r="E21" s="368">
        <v>1</v>
      </c>
      <c r="F21" s="369">
        <f t="shared" si="2"/>
        <v>4</v>
      </c>
    </row>
    <row r="22" spans="2:6" ht="25.05" customHeight="1">
      <c r="B22" s="734"/>
      <c r="C22" s="372" t="s">
        <v>77</v>
      </c>
      <c r="D22" s="368">
        <v>4</v>
      </c>
      <c r="E22" s="368">
        <v>1</v>
      </c>
      <c r="F22" s="369">
        <f t="shared" si="2"/>
        <v>5</v>
      </c>
    </row>
    <row r="23" spans="2:6" ht="25.05" customHeight="1">
      <c r="B23" s="734"/>
      <c r="C23" s="372" t="s">
        <v>68</v>
      </c>
      <c r="D23" s="368">
        <v>3</v>
      </c>
      <c r="E23" s="368">
        <v>1</v>
      </c>
      <c r="F23" s="369">
        <f t="shared" si="2"/>
        <v>4</v>
      </c>
    </row>
    <row r="24" spans="2:6" ht="25.05" customHeight="1">
      <c r="B24" s="734"/>
      <c r="C24" s="372" t="s">
        <v>91</v>
      </c>
      <c r="D24" s="368">
        <v>1</v>
      </c>
      <c r="E24" s="368">
        <v>1</v>
      </c>
      <c r="F24" s="369">
        <f t="shared" si="2"/>
        <v>2</v>
      </c>
    </row>
    <row r="25" spans="2:6" ht="25.05" customHeight="1">
      <c r="B25" s="734"/>
      <c r="C25" s="372" t="s">
        <v>62</v>
      </c>
      <c r="D25" s="368">
        <v>2</v>
      </c>
      <c r="E25" s="368">
        <v>1</v>
      </c>
      <c r="F25" s="369">
        <f t="shared" si="2"/>
        <v>3</v>
      </c>
    </row>
    <row r="26" spans="2:6" ht="25.05" customHeight="1">
      <c r="B26" s="734"/>
      <c r="C26" s="372" t="s">
        <v>60</v>
      </c>
      <c r="D26" s="368">
        <v>3</v>
      </c>
      <c r="E26" s="368">
        <v>0</v>
      </c>
      <c r="F26" s="369">
        <f t="shared" si="2"/>
        <v>3</v>
      </c>
    </row>
    <row r="27" spans="2:6" ht="25.05" customHeight="1">
      <c r="B27" s="734"/>
      <c r="C27" s="372" t="s">
        <v>364</v>
      </c>
      <c r="D27" s="368">
        <v>4</v>
      </c>
      <c r="E27" s="368">
        <v>3</v>
      </c>
      <c r="F27" s="369">
        <f t="shared" si="2"/>
        <v>7</v>
      </c>
    </row>
    <row r="28" spans="2:6" ht="25.05" customHeight="1">
      <c r="B28" s="734"/>
      <c r="C28" s="372" t="s">
        <v>365</v>
      </c>
      <c r="D28" s="368">
        <v>5</v>
      </c>
      <c r="E28" s="368">
        <v>2</v>
      </c>
      <c r="F28" s="369">
        <f t="shared" si="2"/>
        <v>7</v>
      </c>
    </row>
    <row r="29" spans="2:6" ht="25.05" customHeight="1">
      <c r="B29" s="735"/>
      <c r="C29" s="372" t="s">
        <v>359</v>
      </c>
      <c r="D29" s="368">
        <v>0</v>
      </c>
      <c r="E29" s="368">
        <v>0</v>
      </c>
      <c r="F29" s="369">
        <f t="shared" si="2"/>
        <v>0</v>
      </c>
    </row>
    <row r="30" spans="2:6" ht="33" customHeight="1">
      <c r="B30" s="680" t="s">
        <v>1618</v>
      </c>
      <c r="C30" s="681"/>
      <c r="D30" s="371">
        <f>SUM(D15:D29)</f>
        <v>57</v>
      </c>
      <c r="E30" s="371">
        <f>SUM(E15:E29)</f>
        <v>25</v>
      </c>
      <c r="F30" s="371">
        <f>SUM(F15:F29)</f>
        <v>82</v>
      </c>
    </row>
  </sheetData>
  <mergeCells count="6">
    <mergeCell ref="B30:C30"/>
    <mergeCell ref="B15:B29"/>
    <mergeCell ref="B1:F1"/>
    <mergeCell ref="B3:B12"/>
    <mergeCell ref="B13:C13"/>
    <mergeCell ref="B14:F14"/>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E8DD7-56C7-564D-BDF4-FA5D97880B21}">
  <dimension ref="A1"/>
  <sheetViews>
    <sheetView rightToLeft="1" workbookViewId="0">
      <selection activeCell="B33" sqref="B33"/>
    </sheetView>
  </sheetViews>
  <sheetFormatPr defaultColWidth="11.19921875" defaultRowHeight="13.8"/>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0F9B7-4BB1-2D40-9870-BE2EE64D26E5}">
  <dimension ref="A1"/>
  <sheetViews>
    <sheetView rightToLeft="1" workbookViewId="0">
      <selection activeCell="D33" sqref="D33"/>
    </sheetView>
  </sheetViews>
  <sheetFormatPr defaultColWidth="11.19921875" defaultRowHeight="13.8"/>
  <sheetData/>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sheetPr>
  <dimension ref="A1:J25"/>
  <sheetViews>
    <sheetView rightToLeft="1" workbookViewId="0">
      <selection activeCell="L5" sqref="L5"/>
    </sheetView>
  </sheetViews>
  <sheetFormatPr defaultColWidth="8.796875" defaultRowHeight="13.8"/>
  <cols>
    <col min="1" max="1" width="9.796875" customWidth="1"/>
    <col min="2" max="2" width="28.5" customWidth="1"/>
    <col min="3" max="3" width="12.69921875" customWidth="1"/>
    <col min="4" max="4" width="18.5" customWidth="1"/>
    <col min="5" max="5" width="13" customWidth="1"/>
    <col min="6" max="6" width="20" customWidth="1"/>
    <col min="7" max="7" width="13.19921875" customWidth="1"/>
    <col min="8" max="8" width="21.19921875" customWidth="1"/>
    <col min="9" max="9" width="16.296875" customWidth="1"/>
    <col min="10" max="10" width="43.5" customWidth="1"/>
  </cols>
  <sheetData>
    <row r="1" spans="1:10" ht="31.5" customHeight="1">
      <c r="A1" s="743" t="s">
        <v>220</v>
      </c>
      <c r="B1" s="744"/>
      <c r="C1" s="744"/>
      <c r="D1" s="744"/>
      <c r="E1" s="744"/>
      <c r="F1" s="744"/>
      <c r="G1" s="744"/>
      <c r="H1" s="744"/>
      <c r="I1" s="744"/>
      <c r="J1" s="744"/>
    </row>
    <row r="2" spans="1:10" ht="31.5" customHeight="1">
      <c r="A2" s="82" t="s">
        <v>47</v>
      </c>
      <c r="B2" s="81" t="s">
        <v>106</v>
      </c>
      <c r="C2" s="81" t="s">
        <v>110</v>
      </c>
      <c r="D2" s="81" t="s">
        <v>0</v>
      </c>
      <c r="E2" s="81" t="s">
        <v>25</v>
      </c>
      <c r="F2" s="81" t="s">
        <v>48</v>
      </c>
      <c r="G2" s="81" t="s">
        <v>49</v>
      </c>
      <c r="H2" s="81" t="s">
        <v>221</v>
      </c>
      <c r="I2" s="82" t="s">
        <v>108</v>
      </c>
      <c r="J2" s="81" t="s">
        <v>26</v>
      </c>
    </row>
    <row r="3" spans="1:10" s="447" customFormat="1" ht="30" customHeight="1">
      <c r="A3" s="444" t="s">
        <v>617</v>
      </c>
      <c r="B3" s="445" t="s">
        <v>1720</v>
      </c>
      <c r="C3" s="444" t="s">
        <v>9</v>
      </c>
      <c r="D3" s="444" t="s">
        <v>1722</v>
      </c>
      <c r="E3" s="444" t="s">
        <v>3</v>
      </c>
      <c r="F3" s="444" t="s">
        <v>611</v>
      </c>
      <c r="G3" s="444" t="s">
        <v>132</v>
      </c>
      <c r="H3" s="444" t="s">
        <v>1721</v>
      </c>
      <c r="I3" s="446"/>
      <c r="J3" s="242"/>
    </row>
    <row r="4" spans="1:10" s="447" customFormat="1" ht="30" customHeight="1">
      <c r="A4" s="444" t="s">
        <v>1724</v>
      </c>
      <c r="B4" s="445" t="s">
        <v>1723</v>
      </c>
      <c r="C4" s="444" t="s">
        <v>9</v>
      </c>
      <c r="D4" s="448" t="s">
        <v>45</v>
      </c>
      <c r="E4" s="444" t="s">
        <v>1727</v>
      </c>
      <c r="F4" s="444" t="s">
        <v>1725</v>
      </c>
      <c r="G4" s="449"/>
      <c r="H4" s="444" t="s">
        <v>1726</v>
      </c>
      <c r="I4" s="450"/>
      <c r="J4" s="451"/>
    </row>
    <row r="5" spans="1:10" s="447" customFormat="1" ht="30" customHeight="1">
      <c r="A5" s="444" t="s">
        <v>916</v>
      </c>
      <c r="B5" s="445" t="s">
        <v>911</v>
      </c>
      <c r="C5" s="444" t="s">
        <v>9</v>
      </c>
      <c r="D5" s="444" t="s">
        <v>1728</v>
      </c>
      <c r="E5" s="444" t="s">
        <v>1727</v>
      </c>
      <c r="F5" s="444" t="s">
        <v>912</v>
      </c>
      <c r="G5" s="444" t="s">
        <v>132</v>
      </c>
      <c r="H5" s="444" t="s">
        <v>913</v>
      </c>
      <c r="I5" s="446"/>
      <c r="J5" s="452"/>
    </row>
    <row r="6" spans="1:10" s="447" customFormat="1" ht="30" customHeight="1">
      <c r="A6" s="444" t="s">
        <v>1090</v>
      </c>
      <c r="B6" s="445" t="s">
        <v>1729</v>
      </c>
      <c r="C6" s="444" t="s">
        <v>121</v>
      </c>
      <c r="D6" s="444" t="s">
        <v>1731</v>
      </c>
      <c r="E6" s="444" t="s">
        <v>3</v>
      </c>
      <c r="F6" s="444" t="s">
        <v>1085</v>
      </c>
      <c r="G6" s="444" t="s">
        <v>126</v>
      </c>
      <c r="H6" s="444" t="s">
        <v>1730</v>
      </c>
      <c r="I6" s="446"/>
      <c r="J6" s="453"/>
    </row>
    <row r="7" spans="1:10" s="447" customFormat="1" ht="30" customHeight="1">
      <c r="A7" s="454" t="s">
        <v>955</v>
      </c>
      <c r="B7" s="445" t="s">
        <v>950</v>
      </c>
      <c r="C7" s="444" t="s">
        <v>121</v>
      </c>
      <c r="D7" s="444" t="s">
        <v>1731</v>
      </c>
      <c r="E7" s="444" t="s">
        <v>3</v>
      </c>
      <c r="F7" s="444">
        <v>2429034354</v>
      </c>
      <c r="G7" s="454" t="s">
        <v>122</v>
      </c>
      <c r="H7" s="454" t="s">
        <v>952</v>
      </c>
      <c r="I7" s="446"/>
      <c r="J7" s="455"/>
    </row>
    <row r="8" spans="1:10" s="456" customFormat="1" ht="30" customHeight="1">
      <c r="A8" s="444" t="s">
        <v>1177</v>
      </c>
      <c r="B8" s="445" t="s">
        <v>1732</v>
      </c>
      <c r="C8" s="444" t="s">
        <v>121</v>
      </c>
      <c r="D8" s="444" t="s">
        <v>1731</v>
      </c>
      <c r="E8" s="444" t="s">
        <v>3</v>
      </c>
      <c r="F8" s="444" t="s">
        <v>1173</v>
      </c>
      <c r="G8" s="444" t="s">
        <v>131</v>
      </c>
      <c r="H8" s="444" t="s">
        <v>1733</v>
      </c>
      <c r="I8" s="446"/>
      <c r="J8" s="452"/>
    </row>
    <row r="9" spans="1:10" s="456" customFormat="1" ht="30" customHeight="1">
      <c r="A9" s="444" t="s">
        <v>1171</v>
      </c>
      <c r="B9" s="445" t="s">
        <v>1313</v>
      </c>
      <c r="C9" s="444" t="s">
        <v>121</v>
      </c>
      <c r="D9" s="444" t="s">
        <v>1731</v>
      </c>
      <c r="E9" s="444" t="s">
        <v>1727</v>
      </c>
      <c r="F9" s="444" t="s">
        <v>1166</v>
      </c>
      <c r="G9" s="444" t="s">
        <v>131</v>
      </c>
      <c r="H9" s="444" t="s">
        <v>1734</v>
      </c>
      <c r="I9" s="446"/>
      <c r="J9" s="452"/>
    </row>
    <row r="10" spans="1:10" s="456" customFormat="1" ht="30" customHeight="1">
      <c r="A10" s="444" t="s">
        <v>1736</v>
      </c>
      <c r="B10" s="445" t="s">
        <v>1735</v>
      </c>
      <c r="C10" s="444" t="s">
        <v>121</v>
      </c>
      <c r="D10" s="444" t="s">
        <v>1731</v>
      </c>
      <c r="E10" s="444" t="s">
        <v>3</v>
      </c>
      <c r="F10" s="444" t="s">
        <v>1737</v>
      </c>
      <c r="G10" s="444" t="s">
        <v>122</v>
      </c>
      <c r="H10" s="444" t="s">
        <v>1738</v>
      </c>
      <c r="I10" s="446"/>
      <c r="J10" s="452"/>
    </row>
    <row r="11" spans="1:10" s="456" customFormat="1" ht="30" customHeight="1">
      <c r="A11" s="444" t="s">
        <v>1740</v>
      </c>
      <c r="B11" s="445" t="s">
        <v>1739</v>
      </c>
      <c r="C11" s="444" t="s">
        <v>121</v>
      </c>
      <c r="D11" s="444" t="s">
        <v>1743</v>
      </c>
      <c r="E11" s="444" t="s">
        <v>3</v>
      </c>
      <c r="F11" s="444" t="s">
        <v>1741</v>
      </c>
      <c r="G11" s="444" t="s">
        <v>118</v>
      </c>
      <c r="H11" s="444" t="s">
        <v>1742</v>
      </c>
      <c r="I11" s="446"/>
      <c r="J11" s="452"/>
    </row>
    <row r="12" spans="1:10" s="456" customFormat="1" ht="30" customHeight="1">
      <c r="A12" s="444"/>
      <c r="B12" s="445" t="s">
        <v>1744</v>
      </c>
      <c r="C12" s="444" t="s">
        <v>121</v>
      </c>
      <c r="D12" s="444" t="s">
        <v>1731</v>
      </c>
      <c r="E12" s="444" t="s">
        <v>3</v>
      </c>
      <c r="F12" s="444" t="s">
        <v>1745</v>
      </c>
      <c r="G12" s="444" t="s">
        <v>131</v>
      </c>
      <c r="H12" s="444" t="s">
        <v>1746</v>
      </c>
      <c r="I12" s="446"/>
      <c r="J12" s="452"/>
    </row>
    <row r="13" spans="1:10" s="456" customFormat="1" ht="30" customHeight="1">
      <c r="A13" s="444" t="s">
        <v>949</v>
      </c>
      <c r="B13" s="445" t="s">
        <v>944</v>
      </c>
      <c r="C13" s="444" t="s">
        <v>223</v>
      </c>
      <c r="D13" s="444" t="s">
        <v>30</v>
      </c>
      <c r="E13" s="444" t="s">
        <v>1727</v>
      </c>
      <c r="F13" s="444" t="s">
        <v>945</v>
      </c>
      <c r="G13" s="444" t="s">
        <v>122</v>
      </c>
      <c r="H13" s="444" t="s">
        <v>1747</v>
      </c>
      <c r="I13" s="446"/>
      <c r="J13" s="452"/>
    </row>
    <row r="14" spans="1:10" s="456" customFormat="1" ht="30" customHeight="1">
      <c r="A14" s="444" t="s">
        <v>929</v>
      </c>
      <c r="B14" s="445" t="s">
        <v>923</v>
      </c>
      <c r="C14" s="444" t="s">
        <v>223</v>
      </c>
      <c r="D14" s="444" t="s">
        <v>28</v>
      </c>
      <c r="E14" s="444" t="s">
        <v>1727</v>
      </c>
      <c r="F14" s="444" t="s">
        <v>924</v>
      </c>
      <c r="G14" s="444" t="s">
        <v>126</v>
      </c>
      <c r="H14" s="444" t="s">
        <v>926</v>
      </c>
      <c r="I14" s="446"/>
      <c r="J14" s="452"/>
    </row>
    <row r="15" spans="1:10" s="456" customFormat="1" ht="30" customHeight="1">
      <c r="A15" s="444" t="s">
        <v>943</v>
      </c>
      <c r="B15" s="445" t="s">
        <v>938</v>
      </c>
      <c r="C15" s="444" t="s">
        <v>223</v>
      </c>
      <c r="D15" s="444" t="s">
        <v>28</v>
      </c>
      <c r="E15" s="444" t="s">
        <v>1727</v>
      </c>
      <c r="F15" s="444" t="s">
        <v>939</v>
      </c>
      <c r="G15" s="444" t="s">
        <v>122</v>
      </c>
      <c r="H15" s="444" t="s">
        <v>1748</v>
      </c>
      <c r="I15" s="446"/>
      <c r="J15" s="452"/>
    </row>
    <row r="16" spans="1:10" s="456" customFormat="1" ht="30" customHeight="1">
      <c r="A16" s="444" t="s">
        <v>968</v>
      </c>
      <c r="B16" s="445" t="s">
        <v>963</v>
      </c>
      <c r="C16" s="444" t="s">
        <v>223</v>
      </c>
      <c r="D16" s="444" t="s">
        <v>30</v>
      </c>
      <c r="E16" s="444" t="s">
        <v>1727</v>
      </c>
      <c r="F16" s="444" t="s">
        <v>964</v>
      </c>
      <c r="G16" s="444" t="s">
        <v>126</v>
      </c>
      <c r="H16" s="444" t="s">
        <v>965</v>
      </c>
      <c r="I16" s="457"/>
      <c r="J16" s="452"/>
    </row>
    <row r="17" spans="1:10" s="459" customFormat="1" ht="30" customHeight="1">
      <c r="A17" s="444" t="s">
        <v>976</v>
      </c>
      <c r="B17" s="445" t="s">
        <v>969</v>
      </c>
      <c r="C17" s="444" t="s">
        <v>223</v>
      </c>
      <c r="D17" s="444" t="s">
        <v>149</v>
      </c>
      <c r="E17" s="444" t="s">
        <v>1727</v>
      </c>
      <c r="F17" s="444" t="s">
        <v>970</v>
      </c>
      <c r="G17" s="444" t="s">
        <v>120</v>
      </c>
      <c r="H17" s="444" t="s">
        <v>973</v>
      </c>
      <c r="I17" s="446"/>
      <c r="J17" s="458"/>
    </row>
    <row r="18" spans="1:10" s="459" customFormat="1" ht="30" customHeight="1">
      <c r="A18" s="444" t="s">
        <v>995</v>
      </c>
      <c r="B18" s="445" t="s">
        <v>990</v>
      </c>
      <c r="C18" s="444" t="s">
        <v>1749</v>
      </c>
      <c r="D18" s="444" t="s">
        <v>30</v>
      </c>
      <c r="E18" s="444" t="s">
        <v>3</v>
      </c>
      <c r="F18" s="444" t="s">
        <v>991</v>
      </c>
      <c r="G18" s="444" t="s">
        <v>120</v>
      </c>
      <c r="H18" s="444" t="s">
        <v>992</v>
      </c>
      <c r="I18" s="446"/>
      <c r="J18" s="458"/>
    </row>
    <row r="19" spans="1:10" s="459" customFormat="1" ht="30" customHeight="1">
      <c r="A19" s="444" t="s">
        <v>1001</v>
      </c>
      <c r="B19" s="445" t="s">
        <v>996</v>
      </c>
      <c r="C19" s="444" t="s">
        <v>1749</v>
      </c>
      <c r="D19" s="444" t="s">
        <v>1750</v>
      </c>
      <c r="E19" s="444" t="s">
        <v>3</v>
      </c>
      <c r="F19" s="444" t="s">
        <v>997</v>
      </c>
      <c r="G19" s="444" t="s">
        <v>120</v>
      </c>
      <c r="H19" s="444" t="s">
        <v>998</v>
      </c>
      <c r="I19" s="457"/>
      <c r="J19" s="458"/>
    </row>
    <row r="21" spans="1:10" ht="25.95" customHeight="1">
      <c r="B21" s="83" t="s">
        <v>222</v>
      </c>
      <c r="C21" s="83" t="s">
        <v>2</v>
      </c>
      <c r="D21" s="83" t="s">
        <v>42</v>
      </c>
      <c r="E21" s="83" t="s">
        <v>96</v>
      </c>
      <c r="F21" s="83" t="s">
        <v>44</v>
      </c>
      <c r="G21" s="83" t="s">
        <v>45</v>
      </c>
      <c r="H21" s="83" t="s">
        <v>46</v>
      </c>
      <c r="I21" s="83" t="s">
        <v>34</v>
      </c>
      <c r="J21" s="83" t="s">
        <v>224</v>
      </c>
    </row>
    <row r="22" spans="1:10" ht="25.95" customHeight="1">
      <c r="B22" s="83" t="s">
        <v>223</v>
      </c>
      <c r="C22" s="244">
        <v>1</v>
      </c>
      <c r="D22" s="244"/>
      <c r="E22" s="244">
        <v>2</v>
      </c>
      <c r="F22" s="244"/>
      <c r="G22" s="244">
        <v>2</v>
      </c>
      <c r="H22" s="244">
        <v>1</v>
      </c>
      <c r="I22" s="460">
        <v>1</v>
      </c>
      <c r="J22" s="461">
        <f>SUM(C22:I22)</f>
        <v>7</v>
      </c>
    </row>
    <row r="23" spans="1:10" ht="25.95" customHeight="1">
      <c r="B23" s="83" t="s">
        <v>9</v>
      </c>
      <c r="C23" s="244"/>
      <c r="D23" s="244"/>
      <c r="E23" s="244">
        <v>1</v>
      </c>
      <c r="F23" s="244"/>
      <c r="G23" s="244">
        <v>1</v>
      </c>
      <c r="H23" s="244">
        <v>1</v>
      </c>
      <c r="I23" s="460"/>
      <c r="J23" s="461">
        <f>SUM(C23:I23)</f>
        <v>3</v>
      </c>
    </row>
    <row r="24" spans="1:10" ht="25.95" customHeight="1">
      <c r="B24" s="83" t="s">
        <v>121</v>
      </c>
      <c r="C24" s="244">
        <v>1</v>
      </c>
      <c r="D24" s="244">
        <v>2</v>
      </c>
      <c r="E24" s="244">
        <v>1</v>
      </c>
      <c r="F24" s="244">
        <v>1</v>
      </c>
      <c r="G24" s="244"/>
      <c r="H24" s="244">
        <v>2</v>
      </c>
      <c r="I24" s="460"/>
      <c r="J24" s="461">
        <f>SUM(C24:I24)</f>
        <v>7</v>
      </c>
    </row>
    <row r="25" spans="1:10" ht="25.95" customHeight="1">
      <c r="B25" s="151" t="s">
        <v>361</v>
      </c>
      <c r="C25" s="462">
        <f>SUM(C22:C24)</f>
        <v>2</v>
      </c>
      <c r="D25" s="462">
        <f t="shared" ref="D25:I25" si="0">SUM(D22:D24)</f>
        <v>2</v>
      </c>
      <c r="E25" s="462">
        <f t="shared" si="0"/>
        <v>4</v>
      </c>
      <c r="F25" s="462">
        <f t="shared" si="0"/>
        <v>1</v>
      </c>
      <c r="G25" s="462">
        <f t="shared" si="0"/>
        <v>3</v>
      </c>
      <c r="H25" s="462">
        <f t="shared" si="0"/>
        <v>4</v>
      </c>
      <c r="I25" s="462">
        <f t="shared" si="0"/>
        <v>1</v>
      </c>
      <c r="J25" s="461">
        <f t="shared" ref="J25" si="1">SUM(C25:I25)</f>
        <v>17</v>
      </c>
    </row>
  </sheetData>
  <mergeCells count="1">
    <mergeCell ref="A1:J1"/>
  </mergeCells>
  <printOptions horizontalCentered="1"/>
  <pageMargins left="0.15748031496062992" right="0.15748031496062992" top="0.43307086614173229" bottom="0.2" header="0.31496062992125984" footer="0.17"/>
  <pageSetup paperSize="9" scale="7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FF00"/>
  </sheetPr>
  <dimension ref="A1:AG58"/>
  <sheetViews>
    <sheetView rightToLeft="1" zoomScale="94" workbookViewId="0">
      <selection activeCell="S6" sqref="S6"/>
    </sheetView>
  </sheetViews>
  <sheetFormatPr defaultColWidth="8.796875" defaultRowHeight="13.8"/>
  <cols>
    <col min="1" max="3" width="16.296875" customWidth="1"/>
    <col min="4" max="4" width="17.19921875" customWidth="1"/>
    <col min="5" max="5" width="15.296875" customWidth="1"/>
    <col min="6" max="6" width="15" customWidth="1"/>
    <col min="7" max="7" width="16" customWidth="1"/>
    <col min="8" max="8" width="15.5" customWidth="1"/>
    <col min="9" max="9" width="12.796875" customWidth="1"/>
    <col min="10" max="10" width="2.796875" customWidth="1"/>
    <col min="11" max="12" width="12.19921875" customWidth="1"/>
    <col min="13" max="13" width="12.69921875" customWidth="1"/>
    <col min="14" max="14" width="12.5" customWidth="1"/>
    <col min="15" max="15" width="13.796875" customWidth="1"/>
    <col min="16" max="16" width="15.796875" customWidth="1"/>
    <col min="17" max="17" width="15.69921875" customWidth="1"/>
    <col min="18" max="18" width="17.296875" customWidth="1"/>
    <col min="19" max="19" width="16.19921875" customWidth="1"/>
    <col min="20" max="20" width="15.19921875" customWidth="1"/>
    <col min="21" max="21" width="16.296875" customWidth="1"/>
    <col min="22" max="22" width="15.796875" customWidth="1"/>
    <col min="23" max="23" width="17.69921875" customWidth="1"/>
    <col min="24" max="24" width="19.796875" customWidth="1"/>
    <col min="25" max="25" width="18.19921875" customWidth="1"/>
    <col min="26" max="26" width="25.5" customWidth="1"/>
    <col min="27" max="27" width="21.796875" customWidth="1"/>
    <col min="28" max="28" width="8.296875" hidden="1" customWidth="1"/>
    <col min="29" max="29" width="0.19921875" hidden="1" customWidth="1"/>
    <col min="30" max="30" width="8" hidden="1" customWidth="1"/>
    <col min="31" max="31" width="27.296875" hidden="1" customWidth="1"/>
    <col min="32" max="32" width="0.19921875" hidden="1" customWidth="1"/>
    <col min="33" max="33" width="17.296875" customWidth="1"/>
  </cols>
  <sheetData>
    <row r="1" spans="1:33" ht="33" customHeight="1">
      <c r="A1" s="771" t="s">
        <v>94</v>
      </c>
      <c r="B1" s="772"/>
      <c r="C1" s="772"/>
      <c r="D1" s="772"/>
      <c r="E1" s="772"/>
      <c r="F1" s="772"/>
      <c r="G1" s="772"/>
      <c r="H1" s="772"/>
      <c r="I1" s="773"/>
      <c r="J1" s="232"/>
      <c r="K1" s="771" t="s">
        <v>95</v>
      </c>
      <c r="L1" s="772"/>
      <c r="M1" s="772"/>
      <c r="N1" s="772"/>
      <c r="O1" s="772"/>
      <c r="P1" s="772"/>
      <c r="Q1" s="772"/>
      <c r="R1" s="772"/>
      <c r="S1" s="773"/>
      <c r="AA1" s="373"/>
      <c r="AB1" s="373"/>
      <c r="AC1" s="373"/>
      <c r="AD1" s="373"/>
      <c r="AE1" s="373"/>
      <c r="AF1" s="373"/>
      <c r="AG1" s="373"/>
    </row>
    <row r="2" spans="1:33" ht="39" customHeight="1">
      <c r="A2" s="767" t="s">
        <v>42</v>
      </c>
      <c r="B2" s="768"/>
      <c r="C2" s="768"/>
      <c r="D2" s="768"/>
      <c r="E2" s="768"/>
      <c r="F2" s="768"/>
      <c r="G2" s="768"/>
      <c r="H2" s="768"/>
      <c r="I2" s="769"/>
      <c r="J2" s="232"/>
      <c r="K2" s="767" t="s">
        <v>96</v>
      </c>
      <c r="L2" s="768"/>
      <c r="M2" s="768"/>
      <c r="N2" s="768"/>
      <c r="O2" s="768"/>
      <c r="P2" s="768"/>
      <c r="Q2" s="768"/>
      <c r="R2" s="768"/>
      <c r="S2" s="769"/>
      <c r="U2" s="752"/>
      <c r="V2" s="752"/>
      <c r="W2" s="752"/>
      <c r="X2" s="752"/>
      <c r="Y2" s="752"/>
      <c r="Z2" s="752"/>
      <c r="AA2" s="374"/>
      <c r="AB2" s="374"/>
      <c r="AC2" s="374"/>
      <c r="AD2" s="374"/>
      <c r="AE2" s="374"/>
      <c r="AF2" s="374"/>
    </row>
    <row r="3" spans="1:33" ht="31.05" customHeight="1">
      <c r="A3" s="758" t="s">
        <v>11</v>
      </c>
      <c r="B3" s="758" t="s">
        <v>97</v>
      </c>
      <c r="C3" s="758" t="s">
        <v>1314</v>
      </c>
      <c r="D3" s="757" t="s">
        <v>98</v>
      </c>
      <c r="E3" s="757"/>
      <c r="F3" s="757"/>
      <c r="G3" s="760" t="s">
        <v>99</v>
      </c>
      <c r="H3" s="755" t="s">
        <v>100</v>
      </c>
      <c r="I3" s="757" t="s">
        <v>1620</v>
      </c>
      <c r="J3" s="232"/>
      <c r="K3" s="758" t="s">
        <v>11</v>
      </c>
      <c r="L3" s="758" t="s">
        <v>97</v>
      </c>
      <c r="M3" s="758" t="s">
        <v>1314</v>
      </c>
      <c r="N3" s="757" t="s">
        <v>98</v>
      </c>
      <c r="O3" s="757"/>
      <c r="P3" s="757"/>
      <c r="Q3" s="760" t="s">
        <v>99</v>
      </c>
      <c r="R3" s="770" t="s">
        <v>101</v>
      </c>
      <c r="S3" s="757" t="s">
        <v>1620</v>
      </c>
      <c r="U3" s="749"/>
      <c r="V3" s="749"/>
      <c r="W3" s="749"/>
      <c r="X3" s="749"/>
      <c r="Y3" s="749"/>
      <c r="Z3" s="749"/>
      <c r="AA3" s="749"/>
      <c r="AF3" s="375"/>
    </row>
    <row r="4" spans="1:33" ht="25.95" customHeight="1">
      <c r="A4" s="759"/>
      <c r="B4" s="759"/>
      <c r="C4" s="759"/>
      <c r="D4" s="28" t="s">
        <v>102</v>
      </c>
      <c r="E4" s="28" t="s">
        <v>103</v>
      </c>
      <c r="F4" s="28" t="s">
        <v>98</v>
      </c>
      <c r="G4" s="760"/>
      <c r="H4" s="756"/>
      <c r="I4" s="757"/>
      <c r="J4" s="232"/>
      <c r="K4" s="759"/>
      <c r="L4" s="759"/>
      <c r="M4" s="759"/>
      <c r="N4" s="28" t="s">
        <v>102</v>
      </c>
      <c r="O4" s="28" t="s">
        <v>103</v>
      </c>
      <c r="P4" s="28" t="s">
        <v>98</v>
      </c>
      <c r="Q4" s="760"/>
      <c r="R4" s="770"/>
      <c r="S4" s="757"/>
      <c r="U4" s="749"/>
      <c r="V4" s="749"/>
      <c r="W4" s="749"/>
      <c r="X4" s="749"/>
      <c r="Y4" s="749"/>
      <c r="Z4" s="749"/>
      <c r="AA4" s="749"/>
      <c r="AF4" s="376"/>
    </row>
    <row r="5" spans="1:33" ht="31.95" customHeight="1">
      <c r="A5" s="29">
        <v>1</v>
      </c>
      <c r="B5" s="30"/>
      <c r="C5" s="377" t="s">
        <v>1621</v>
      </c>
      <c r="D5" s="30">
        <v>6</v>
      </c>
      <c r="E5" s="30">
        <v>5</v>
      </c>
      <c r="F5" s="378">
        <f t="shared" ref="F5:F16" si="0">E5*D5</f>
        <v>30</v>
      </c>
      <c r="G5" s="32">
        <f>F5/1.5</f>
        <v>20</v>
      </c>
      <c r="H5" s="31">
        <v>10</v>
      </c>
      <c r="I5" s="33">
        <f>H5-G5</f>
        <v>-10</v>
      </c>
      <c r="J5" s="232"/>
      <c r="K5" s="29">
        <v>1</v>
      </c>
      <c r="L5" s="30"/>
      <c r="M5" s="377" t="s">
        <v>1622</v>
      </c>
      <c r="N5" s="30">
        <v>6</v>
      </c>
      <c r="O5" s="30">
        <v>5</v>
      </c>
      <c r="P5" s="378">
        <f t="shared" ref="P5:P16" si="1">O5*N5</f>
        <v>30</v>
      </c>
      <c r="Q5" s="32">
        <f>P5/1.5</f>
        <v>20</v>
      </c>
      <c r="R5" s="31">
        <v>19</v>
      </c>
      <c r="S5" s="33">
        <f>R5-Q5</f>
        <v>-1</v>
      </c>
      <c r="U5" s="379"/>
      <c r="V5" s="380"/>
      <c r="W5" s="381"/>
      <c r="X5" s="381"/>
      <c r="Y5" s="382"/>
      <c r="Z5" s="376"/>
      <c r="AA5" s="376"/>
      <c r="AF5" s="376"/>
    </row>
    <row r="6" spans="1:33" ht="24.6">
      <c r="A6" s="29">
        <v>2</v>
      </c>
      <c r="B6" s="30"/>
      <c r="C6" s="377" t="s">
        <v>1623</v>
      </c>
      <c r="D6" s="30">
        <v>6</v>
      </c>
      <c r="E6" s="30">
        <v>5</v>
      </c>
      <c r="F6" s="378">
        <f t="shared" si="0"/>
        <v>30</v>
      </c>
      <c r="G6" s="32">
        <f t="shared" ref="G6:G16" si="2">F6/1.5</f>
        <v>20</v>
      </c>
      <c r="H6" s="31">
        <v>18</v>
      </c>
      <c r="I6" s="33">
        <f t="shared" ref="I6:I16" si="3">H6-G6</f>
        <v>-2</v>
      </c>
      <c r="J6" s="232"/>
      <c r="K6" s="29">
        <v>2</v>
      </c>
      <c r="L6" s="30"/>
      <c r="M6" s="377" t="s">
        <v>1624</v>
      </c>
      <c r="N6" s="30">
        <v>6</v>
      </c>
      <c r="O6" s="30">
        <v>5</v>
      </c>
      <c r="P6" s="378">
        <f t="shared" si="1"/>
        <v>30</v>
      </c>
      <c r="Q6" s="32">
        <f t="shared" ref="Q6:Q16" si="4">P6/1.5</f>
        <v>20</v>
      </c>
      <c r="R6" s="31">
        <v>19</v>
      </c>
      <c r="S6" s="33">
        <f t="shared" ref="S6:S16" si="5">R6-Q6</f>
        <v>-1</v>
      </c>
      <c r="U6" s="750"/>
      <c r="V6" s="380"/>
      <c r="W6" s="381"/>
      <c r="X6" s="381"/>
      <c r="Y6" s="382"/>
      <c r="Z6" s="376"/>
      <c r="AA6" s="376"/>
      <c r="AF6" s="376"/>
    </row>
    <row r="7" spans="1:33" ht="24.6">
      <c r="A7" s="29">
        <v>3</v>
      </c>
      <c r="B7" s="30"/>
      <c r="C7" s="377" t="s">
        <v>1625</v>
      </c>
      <c r="D7" s="30">
        <v>6</v>
      </c>
      <c r="E7" s="30">
        <v>5</v>
      </c>
      <c r="F7" s="378">
        <f t="shared" si="0"/>
        <v>30</v>
      </c>
      <c r="G7" s="32">
        <f t="shared" si="2"/>
        <v>20</v>
      </c>
      <c r="H7" s="31">
        <v>24</v>
      </c>
      <c r="I7" s="33">
        <f t="shared" si="3"/>
        <v>4</v>
      </c>
      <c r="J7" s="232"/>
      <c r="K7" s="29">
        <v>3</v>
      </c>
      <c r="L7" s="30"/>
      <c r="M7" s="377" t="s">
        <v>1626</v>
      </c>
      <c r="N7" s="30">
        <v>6</v>
      </c>
      <c r="O7" s="30">
        <v>5</v>
      </c>
      <c r="P7" s="378">
        <f t="shared" si="1"/>
        <v>30</v>
      </c>
      <c r="Q7" s="32">
        <f t="shared" si="4"/>
        <v>20</v>
      </c>
      <c r="R7" s="31">
        <v>20</v>
      </c>
      <c r="S7" s="33">
        <f t="shared" si="5"/>
        <v>0</v>
      </c>
      <c r="U7" s="750"/>
      <c r="V7" s="380"/>
      <c r="W7" s="381"/>
      <c r="X7" s="381"/>
      <c r="Y7" s="382"/>
      <c r="Z7" s="376"/>
      <c r="AA7" s="376"/>
      <c r="AF7" s="376"/>
    </row>
    <row r="8" spans="1:33" ht="24.6">
      <c r="A8" s="29">
        <v>4</v>
      </c>
      <c r="B8" s="30"/>
      <c r="C8" s="377" t="s">
        <v>1627</v>
      </c>
      <c r="D8" s="30">
        <v>5</v>
      </c>
      <c r="E8" s="30">
        <v>3.5</v>
      </c>
      <c r="F8" s="378">
        <f t="shared" si="0"/>
        <v>17.5</v>
      </c>
      <c r="G8" s="32">
        <f t="shared" si="2"/>
        <v>11.666666666666666</v>
      </c>
      <c r="H8" s="31">
        <v>8</v>
      </c>
      <c r="I8" s="33">
        <f t="shared" si="3"/>
        <v>-3.6666666666666661</v>
      </c>
      <c r="J8" s="232"/>
      <c r="K8" s="29">
        <v>4</v>
      </c>
      <c r="L8" s="30"/>
      <c r="M8" s="377" t="s">
        <v>1628</v>
      </c>
      <c r="N8" s="30">
        <v>6</v>
      </c>
      <c r="O8" s="30">
        <v>5</v>
      </c>
      <c r="P8" s="378">
        <f t="shared" si="1"/>
        <v>30</v>
      </c>
      <c r="Q8" s="32">
        <f t="shared" si="4"/>
        <v>20</v>
      </c>
      <c r="R8" s="31">
        <v>19</v>
      </c>
      <c r="S8" s="33">
        <f t="shared" si="5"/>
        <v>-1</v>
      </c>
      <c r="U8" s="750"/>
      <c r="V8" s="380"/>
      <c r="W8" s="383"/>
      <c r="X8" s="381"/>
      <c r="Y8" s="382"/>
      <c r="Z8" s="376"/>
      <c r="AA8" s="376"/>
      <c r="AF8" s="376"/>
    </row>
    <row r="9" spans="1:33" ht="24.6">
      <c r="A9" s="29">
        <v>5</v>
      </c>
      <c r="B9" s="30"/>
      <c r="C9" s="377" t="s">
        <v>1629</v>
      </c>
      <c r="D9" s="30">
        <v>6</v>
      </c>
      <c r="E9" s="30">
        <v>5</v>
      </c>
      <c r="F9" s="378">
        <f t="shared" si="0"/>
        <v>30</v>
      </c>
      <c r="G9" s="32">
        <f t="shared" si="2"/>
        <v>20</v>
      </c>
      <c r="H9" s="31">
        <v>20</v>
      </c>
      <c r="I9" s="33">
        <f t="shared" si="3"/>
        <v>0</v>
      </c>
      <c r="J9" s="232"/>
      <c r="K9" s="29">
        <v>5</v>
      </c>
      <c r="L9" s="30"/>
      <c r="M9" s="377" t="s">
        <v>1630</v>
      </c>
      <c r="N9" s="30">
        <v>6</v>
      </c>
      <c r="O9" s="30">
        <v>5</v>
      </c>
      <c r="P9" s="378">
        <f t="shared" si="1"/>
        <v>30</v>
      </c>
      <c r="Q9" s="32">
        <f t="shared" si="4"/>
        <v>20</v>
      </c>
      <c r="R9" s="31">
        <v>17</v>
      </c>
      <c r="S9" s="33">
        <f t="shared" si="5"/>
        <v>-3</v>
      </c>
      <c r="U9" s="750"/>
      <c r="V9" s="380"/>
      <c r="W9" s="381"/>
      <c r="X9" s="381"/>
      <c r="Y9" s="382"/>
      <c r="Z9" s="376"/>
      <c r="AA9" s="376"/>
      <c r="AF9" s="376"/>
    </row>
    <row r="10" spans="1:33" ht="24.6">
      <c r="A10" s="29">
        <v>6</v>
      </c>
      <c r="B10" s="30"/>
      <c r="C10" s="377" t="s">
        <v>1631</v>
      </c>
      <c r="D10" s="30">
        <v>5</v>
      </c>
      <c r="E10" s="30">
        <v>3.5</v>
      </c>
      <c r="F10" s="378">
        <f t="shared" si="0"/>
        <v>17.5</v>
      </c>
      <c r="G10" s="32">
        <f t="shared" si="2"/>
        <v>11.666666666666666</v>
      </c>
      <c r="H10" s="31">
        <v>13</v>
      </c>
      <c r="I10" s="33">
        <f t="shared" si="3"/>
        <v>1.3333333333333339</v>
      </c>
      <c r="J10" s="232"/>
      <c r="K10" s="29">
        <v>6</v>
      </c>
      <c r="L10" s="30"/>
      <c r="M10" s="377" t="s">
        <v>1632</v>
      </c>
      <c r="N10" s="30">
        <v>6</v>
      </c>
      <c r="O10" s="30">
        <v>5</v>
      </c>
      <c r="P10" s="378">
        <f t="shared" si="1"/>
        <v>30</v>
      </c>
      <c r="Q10" s="32">
        <f t="shared" si="4"/>
        <v>20</v>
      </c>
      <c r="R10" s="31">
        <v>17</v>
      </c>
      <c r="S10" s="33">
        <f t="shared" si="5"/>
        <v>-3</v>
      </c>
      <c r="U10" s="750"/>
      <c r="V10" s="380"/>
      <c r="W10" s="383"/>
      <c r="X10" s="381"/>
      <c r="Y10" s="382"/>
      <c r="Z10" s="376"/>
      <c r="AA10" s="376"/>
      <c r="AF10" s="376"/>
    </row>
    <row r="11" spans="1:33" ht="31.95" customHeight="1">
      <c r="A11" s="29">
        <v>7</v>
      </c>
      <c r="B11" s="30"/>
      <c r="C11" s="377" t="s">
        <v>1633</v>
      </c>
      <c r="D11" s="30">
        <v>5</v>
      </c>
      <c r="E11" s="30">
        <v>3.5</v>
      </c>
      <c r="F11" s="378">
        <f t="shared" si="0"/>
        <v>17.5</v>
      </c>
      <c r="G11" s="32">
        <f t="shared" si="2"/>
        <v>11.666666666666666</v>
      </c>
      <c r="H11" s="31">
        <v>9</v>
      </c>
      <c r="I11" s="33">
        <f t="shared" si="3"/>
        <v>-2.6666666666666661</v>
      </c>
      <c r="J11" s="232"/>
      <c r="K11" s="29">
        <v>7</v>
      </c>
      <c r="L11" s="30"/>
      <c r="M11" s="377" t="s">
        <v>1634</v>
      </c>
      <c r="N11" s="30">
        <v>6</v>
      </c>
      <c r="O11" s="30">
        <v>5</v>
      </c>
      <c r="P11" s="378">
        <f t="shared" si="1"/>
        <v>30</v>
      </c>
      <c r="Q11" s="32">
        <f t="shared" si="4"/>
        <v>20</v>
      </c>
      <c r="R11" s="31">
        <v>28</v>
      </c>
      <c r="S11" s="33">
        <f t="shared" si="5"/>
        <v>8</v>
      </c>
      <c r="U11" s="750"/>
      <c r="V11" s="380"/>
      <c r="W11" s="381"/>
      <c r="X11" s="381"/>
      <c r="Y11" s="382"/>
      <c r="Z11" s="376"/>
      <c r="AA11" s="384"/>
      <c r="AF11" s="384"/>
    </row>
    <row r="12" spans="1:33" ht="31.05" customHeight="1">
      <c r="A12" s="29">
        <v>8</v>
      </c>
      <c r="B12" s="30"/>
      <c r="C12" s="377"/>
      <c r="D12" s="30"/>
      <c r="E12" s="30"/>
      <c r="F12" s="378">
        <f t="shared" si="0"/>
        <v>0</v>
      </c>
      <c r="G12" s="32">
        <f t="shared" si="2"/>
        <v>0</v>
      </c>
      <c r="H12" s="31"/>
      <c r="I12" s="33">
        <f t="shared" si="3"/>
        <v>0</v>
      </c>
      <c r="J12" s="232"/>
      <c r="K12" s="29">
        <v>8</v>
      </c>
      <c r="L12" s="30"/>
      <c r="M12" s="377" t="s">
        <v>1635</v>
      </c>
      <c r="N12" s="30">
        <v>6</v>
      </c>
      <c r="O12" s="30">
        <v>5</v>
      </c>
      <c r="P12" s="378">
        <f t="shared" si="1"/>
        <v>30</v>
      </c>
      <c r="Q12" s="32">
        <f t="shared" si="4"/>
        <v>20</v>
      </c>
      <c r="R12" s="31">
        <v>28</v>
      </c>
      <c r="S12" s="33">
        <f t="shared" si="5"/>
        <v>8</v>
      </c>
      <c r="U12" s="751"/>
      <c r="V12" s="751"/>
      <c r="W12" s="383"/>
      <c r="X12" s="381"/>
      <c r="Y12" s="382"/>
      <c r="Z12" s="384"/>
      <c r="AA12" s="384"/>
    </row>
    <row r="13" spans="1:33" ht="30" customHeight="1">
      <c r="A13" s="29">
        <v>9</v>
      </c>
      <c r="B13" s="30"/>
      <c r="C13" s="377"/>
      <c r="D13" s="30"/>
      <c r="E13" s="30"/>
      <c r="F13" s="378">
        <f t="shared" si="0"/>
        <v>0</v>
      </c>
      <c r="G13" s="32">
        <f t="shared" si="2"/>
        <v>0</v>
      </c>
      <c r="H13" s="31"/>
      <c r="I13" s="33">
        <f t="shared" si="3"/>
        <v>0</v>
      </c>
      <c r="J13" s="232"/>
      <c r="K13" s="29">
        <v>9</v>
      </c>
      <c r="L13" s="30"/>
      <c r="M13" s="377" t="s">
        <v>1636</v>
      </c>
      <c r="N13" s="30">
        <v>6</v>
      </c>
      <c r="O13" s="30">
        <v>5</v>
      </c>
      <c r="P13" s="378">
        <f t="shared" si="1"/>
        <v>30</v>
      </c>
      <c r="Q13" s="32">
        <f t="shared" si="4"/>
        <v>20</v>
      </c>
      <c r="R13" s="31">
        <v>24</v>
      </c>
      <c r="S13" s="33">
        <f t="shared" si="5"/>
        <v>4</v>
      </c>
    </row>
    <row r="14" spans="1:33" ht="30" customHeight="1">
      <c r="A14" s="29">
        <v>10</v>
      </c>
      <c r="B14" s="30"/>
      <c r="C14" s="377"/>
      <c r="D14" s="30"/>
      <c r="E14" s="30"/>
      <c r="F14" s="378">
        <f t="shared" si="0"/>
        <v>0</v>
      </c>
      <c r="G14" s="32">
        <f t="shared" si="2"/>
        <v>0</v>
      </c>
      <c r="H14" s="31"/>
      <c r="I14" s="33">
        <f t="shared" si="3"/>
        <v>0</v>
      </c>
      <c r="J14" s="232"/>
      <c r="K14" s="29">
        <v>10</v>
      </c>
      <c r="L14" s="30"/>
      <c r="M14" s="377" t="s">
        <v>1637</v>
      </c>
      <c r="N14" s="30">
        <v>6</v>
      </c>
      <c r="O14" s="30">
        <v>5</v>
      </c>
      <c r="P14" s="378">
        <f t="shared" si="1"/>
        <v>30</v>
      </c>
      <c r="Q14" s="32">
        <f t="shared" si="4"/>
        <v>20</v>
      </c>
      <c r="R14" s="31">
        <v>24</v>
      </c>
      <c r="S14" s="33">
        <f t="shared" si="5"/>
        <v>4</v>
      </c>
      <c r="V14" s="747"/>
      <c r="W14" s="747"/>
      <c r="X14" s="747"/>
      <c r="Y14" s="747"/>
      <c r="Z14" s="747"/>
    </row>
    <row r="15" spans="1:33" ht="30" customHeight="1">
      <c r="A15" s="29">
        <v>11</v>
      </c>
      <c r="B15" s="30"/>
      <c r="C15" s="377"/>
      <c r="D15" s="30"/>
      <c r="E15" s="30"/>
      <c r="F15" s="378">
        <f t="shared" si="0"/>
        <v>0</v>
      </c>
      <c r="G15" s="32">
        <f t="shared" si="2"/>
        <v>0</v>
      </c>
      <c r="H15" s="31"/>
      <c r="I15" s="33">
        <f t="shared" si="3"/>
        <v>0</v>
      </c>
      <c r="J15" s="232"/>
      <c r="K15" s="29">
        <v>11</v>
      </c>
      <c r="L15" s="30"/>
      <c r="M15" s="377" t="s">
        <v>1638</v>
      </c>
      <c r="N15" s="30">
        <v>6</v>
      </c>
      <c r="O15" s="30">
        <v>5</v>
      </c>
      <c r="P15" s="378">
        <f t="shared" si="1"/>
        <v>30</v>
      </c>
      <c r="Q15" s="32">
        <f t="shared" si="4"/>
        <v>20</v>
      </c>
      <c r="R15" s="31">
        <v>19</v>
      </c>
      <c r="S15" s="33">
        <f t="shared" si="5"/>
        <v>-1</v>
      </c>
      <c r="V15" s="385"/>
      <c r="W15" s="385"/>
      <c r="X15" s="385"/>
      <c r="Y15" s="385"/>
      <c r="Z15" s="385"/>
    </row>
    <row r="16" spans="1:33" ht="30" customHeight="1">
      <c r="A16" s="29">
        <v>12</v>
      </c>
      <c r="B16" s="30"/>
      <c r="C16" s="386"/>
      <c r="D16" s="30"/>
      <c r="E16" s="30"/>
      <c r="F16" s="378">
        <f t="shared" si="0"/>
        <v>0</v>
      </c>
      <c r="G16" s="32">
        <f t="shared" si="2"/>
        <v>0</v>
      </c>
      <c r="H16" s="31"/>
      <c r="I16" s="33">
        <f t="shared" si="3"/>
        <v>0</v>
      </c>
      <c r="J16" s="232"/>
      <c r="K16" s="29">
        <v>12</v>
      </c>
      <c r="L16" s="30"/>
      <c r="M16" s="377" t="s">
        <v>1639</v>
      </c>
      <c r="N16" s="30">
        <v>6</v>
      </c>
      <c r="O16" s="30">
        <v>5</v>
      </c>
      <c r="P16" s="378">
        <f t="shared" si="1"/>
        <v>30</v>
      </c>
      <c r="Q16" s="32">
        <f t="shared" si="4"/>
        <v>20</v>
      </c>
      <c r="R16" s="31">
        <v>18</v>
      </c>
      <c r="S16" s="33">
        <f t="shared" si="5"/>
        <v>-2</v>
      </c>
      <c r="V16" s="745"/>
      <c r="W16" s="387"/>
      <c r="X16" s="748"/>
      <c r="Y16" s="748"/>
      <c r="Z16" s="387"/>
    </row>
    <row r="17" spans="1:26" ht="42" customHeight="1">
      <c r="A17" s="753" t="s">
        <v>1315</v>
      </c>
      <c r="B17" s="754"/>
      <c r="C17" s="754"/>
      <c r="D17" s="754"/>
      <c r="E17" s="754"/>
      <c r="F17" s="754"/>
      <c r="G17" s="39">
        <f>SUM(G5:G16)</f>
        <v>115.00000000000001</v>
      </c>
      <c r="H17" s="388">
        <f>SUM(H5:H16)</f>
        <v>102</v>
      </c>
      <c r="I17" s="38">
        <f>SUM(I5:I16)</f>
        <v>-12.999999999999998</v>
      </c>
      <c r="J17" s="232"/>
      <c r="K17" s="753" t="s">
        <v>1316</v>
      </c>
      <c r="L17" s="754"/>
      <c r="M17" s="754"/>
      <c r="N17" s="754"/>
      <c r="O17" s="754"/>
      <c r="P17" s="754"/>
      <c r="Q17" s="37">
        <f>SUM(Q6:Q16)</f>
        <v>220</v>
      </c>
      <c r="R17" s="388">
        <f>SUM(R6:R16)</f>
        <v>233</v>
      </c>
      <c r="S17" s="38">
        <f>SUM(S6:S16)</f>
        <v>13</v>
      </c>
      <c r="V17" s="745"/>
      <c r="W17" s="387"/>
      <c r="X17" s="748"/>
      <c r="Y17" s="748"/>
      <c r="Z17" s="387"/>
    </row>
    <row r="18" spans="1:26" s="390" customFormat="1" ht="31.05" customHeight="1">
      <c r="A18" s="761" t="s">
        <v>94</v>
      </c>
      <c r="B18" s="762"/>
      <c r="C18" s="762"/>
      <c r="D18" s="762"/>
      <c r="E18" s="762"/>
      <c r="F18" s="762"/>
      <c r="G18" s="762"/>
      <c r="H18" s="762"/>
      <c r="I18" s="763"/>
      <c r="J18" s="389"/>
      <c r="K18" s="761" t="s">
        <v>95</v>
      </c>
      <c r="L18" s="762"/>
      <c r="M18" s="762"/>
      <c r="N18" s="762"/>
      <c r="O18" s="762"/>
      <c r="P18" s="762"/>
      <c r="Q18" s="762"/>
      <c r="R18" s="762"/>
      <c r="S18" s="763"/>
      <c r="V18" s="745"/>
      <c r="W18" s="387"/>
      <c r="X18" s="387"/>
      <c r="Y18" s="387"/>
      <c r="Z18" s="387"/>
    </row>
    <row r="19" spans="1:26" ht="27">
      <c r="A19" s="767" t="s">
        <v>104</v>
      </c>
      <c r="B19" s="768"/>
      <c r="C19" s="768"/>
      <c r="D19" s="768"/>
      <c r="E19" s="768"/>
      <c r="F19" s="768"/>
      <c r="G19" s="768"/>
      <c r="H19" s="768"/>
      <c r="I19" s="769"/>
      <c r="J19" s="232"/>
      <c r="K19" s="767" t="s">
        <v>43</v>
      </c>
      <c r="L19" s="768"/>
      <c r="M19" s="768"/>
      <c r="N19" s="768"/>
      <c r="O19" s="768"/>
      <c r="P19" s="768"/>
      <c r="Q19" s="768"/>
      <c r="R19" s="768"/>
      <c r="S19" s="769"/>
      <c r="V19" s="745"/>
      <c r="W19" s="387"/>
      <c r="X19" s="387"/>
      <c r="Y19" s="387"/>
      <c r="Z19" s="387"/>
    </row>
    <row r="20" spans="1:26" ht="27" customHeight="1">
      <c r="A20" s="758" t="s">
        <v>11</v>
      </c>
      <c r="B20" s="758" t="s">
        <v>97</v>
      </c>
      <c r="C20" s="758" t="s">
        <v>10</v>
      </c>
      <c r="D20" s="757" t="s">
        <v>98</v>
      </c>
      <c r="E20" s="757"/>
      <c r="F20" s="757"/>
      <c r="G20" s="760" t="s">
        <v>99</v>
      </c>
      <c r="H20" s="755" t="s">
        <v>100</v>
      </c>
      <c r="I20" s="757" t="s">
        <v>1620</v>
      </c>
      <c r="J20" s="232"/>
      <c r="K20" s="758" t="s">
        <v>11</v>
      </c>
      <c r="L20" s="758" t="s">
        <v>97</v>
      </c>
      <c r="M20" s="758" t="s">
        <v>10</v>
      </c>
      <c r="N20" s="757" t="s">
        <v>98</v>
      </c>
      <c r="O20" s="757"/>
      <c r="P20" s="757"/>
      <c r="Q20" s="760" t="s">
        <v>99</v>
      </c>
      <c r="R20" s="770" t="s">
        <v>101</v>
      </c>
      <c r="S20" s="757" t="s">
        <v>1620</v>
      </c>
      <c r="V20" s="745"/>
      <c r="W20" s="387"/>
      <c r="X20" s="387"/>
      <c r="Y20" s="387"/>
      <c r="Z20" s="387"/>
    </row>
    <row r="21" spans="1:26" ht="28.05" customHeight="1">
      <c r="A21" s="759"/>
      <c r="B21" s="759"/>
      <c r="C21" s="759"/>
      <c r="D21" s="391" t="s">
        <v>102</v>
      </c>
      <c r="E21" s="391" t="s">
        <v>103</v>
      </c>
      <c r="F21" s="391" t="s">
        <v>98</v>
      </c>
      <c r="G21" s="760"/>
      <c r="H21" s="756"/>
      <c r="I21" s="757"/>
      <c r="J21" s="232"/>
      <c r="K21" s="759"/>
      <c r="L21" s="759"/>
      <c r="M21" s="759"/>
      <c r="N21" s="28" t="s">
        <v>102</v>
      </c>
      <c r="O21" s="28" t="s">
        <v>103</v>
      </c>
      <c r="P21" s="28" t="s">
        <v>98</v>
      </c>
      <c r="Q21" s="760"/>
      <c r="R21" s="770"/>
      <c r="S21" s="757"/>
      <c r="V21" s="745"/>
      <c r="W21" s="387"/>
      <c r="X21" s="387"/>
      <c r="Y21" s="387"/>
      <c r="Z21" s="387"/>
    </row>
    <row r="22" spans="1:26" ht="33" customHeight="1">
      <c r="A22" s="29">
        <v>1</v>
      </c>
      <c r="B22" s="30">
        <v>29</v>
      </c>
      <c r="C22" s="377" t="s">
        <v>1640</v>
      </c>
      <c r="D22" s="30">
        <v>6</v>
      </c>
      <c r="E22" s="30">
        <v>5</v>
      </c>
      <c r="F22" s="378">
        <f t="shared" ref="F22:F31" si="6">E22*D22</f>
        <v>30</v>
      </c>
      <c r="G22" s="32">
        <f>F22/1.5</f>
        <v>20</v>
      </c>
      <c r="H22" s="31">
        <v>13</v>
      </c>
      <c r="I22" s="33">
        <f>H22-G22</f>
        <v>-7</v>
      </c>
      <c r="J22" s="232"/>
      <c r="K22" s="29">
        <v>1</v>
      </c>
      <c r="L22" s="30">
        <v>1</v>
      </c>
      <c r="M22" s="377" t="s">
        <v>1622</v>
      </c>
      <c r="N22" s="30">
        <v>7</v>
      </c>
      <c r="O22" s="30">
        <v>5</v>
      </c>
      <c r="P22" s="378">
        <f t="shared" ref="P22:P31" si="7">O22*N22</f>
        <v>35</v>
      </c>
      <c r="Q22" s="32">
        <f>P22/1.5</f>
        <v>23.333333333333332</v>
      </c>
      <c r="R22" s="31">
        <v>23</v>
      </c>
      <c r="S22" s="33">
        <f>R22-Q22</f>
        <v>-0.33333333333333215</v>
      </c>
      <c r="V22" s="745"/>
      <c r="W22" s="387"/>
      <c r="X22" s="387"/>
      <c r="Y22" s="387"/>
      <c r="Z22" s="387"/>
    </row>
    <row r="23" spans="1:26" ht="33" customHeight="1">
      <c r="A23" s="29">
        <v>2</v>
      </c>
      <c r="B23" s="30">
        <v>24</v>
      </c>
      <c r="C23" s="377" t="s">
        <v>1641</v>
      </c>
      <c r="D23" s="30">
        <v>6</v>
      </c>
      <c r="E23" s="30">
        <v>5</v>
      </c>
      <c r="F23" s="378">
        <f t="shared" si="6"/>
        <v>30</v>
      </c>
      <c r="G23" s="32">
        <f t="shared" ref="G23:G31" si="8">F23/1.5</f>
        <v>20</v>
      </c>
      <c r="H23" s="31">
        <v>18</v>
      </c>
      <c r="I23" s="33">
        <f t="shared" ref="I23:I31" si="9">H23-G23</f>
        <v>-2</v>
      </c>
      <c r="J23" s="232"/>
      <c r="K23" s="29">
        <v>2</v>
      </c>
      <c r="L23" s="30">
        <v>2</v>
      </c>
      <c r="M23" s="377" t="s">
        <v>1626</v>
      </c>
      <c r="N23" s="30">
        <v>7</v>
      </c>
      <c r="O23" s="30">
        <v>5</v>
      </c>
      <c r="P23" s="378">
        <f t="shared" si="7"/>
        <v>35</v>
      </c>
      <c r="Q23" s="32">
        <f t="shared" ref="Q23:Q31" si="10">P23/1.5</f>
        <v>23.333333333333332</v>
      </c>
      <c r="R23" s="31">
        <v>22</v>
      </c>
      <c r="S23" s="33">
        <f t="shared" ref="S23:S31" si="11">R23-Q23</f>
        <v>-1.3333333333333321</v>
      </c>
      <c r="V23" s="745"/>
      <c r="W23" s="387"/>
      <c r="X23" s="387"/>
      <c r="Y23" s="387"/>
      <c r="Z23" s="387"/>
    </row>
    <row r="24" spans="1:26" ht="33" customHeight="1">
      <c r="A24" s="29">
        <v>3</v>
      </c>
      <c r="B24" s="30">
        <v>23</v>
      </c>
      <c r="C24" s="377" t="s">
        <v>1642</v>
      </c>
      <c r="D24" s="30">
        <v>6</v>
      </c>
      <c r="E24" s="30">
        <v>5</v>
      </c>
      <c r="F24" s="378">
        <f t="shared" si="6"/>
        <v>30</v>
      </c>
      <c r="G24" s="32">
        <f t="shared" si="8"/>
        <v>20</v>
      </c>
      <c r="H24" s="31">
        <v>14</v>
      </c>
      <c r="I24" s="33">
        <f t="shared" si="9"/>
        <v>-6</v>
      </c>
      <c r="J24" s="232"/>
      <c r="K24" s="29">
        <v>3</v>
      </c>
      <c r="L24" s="30">
        <v>3</v>
      </c>
      <c r="M24" s="377" t="s">
        <v>1630</v>
      </c>
      <c r="N24" s="30">
        <v>7</v>
      </c>
      <c r="O24" s="30">
        <v>5</v>
      </c>
      <c r="P24" s="378">
        <f t="shared" si="7"/>
        <v>35</v>
      </c>
      <c r="Q24" s="32">
        <f t="shared" si="10"/>
        <v>23.333333333333332</v>
      </c>
      <c r="R24" s="31">
        <v>21</v>
      </c>
      <c r="S24" s="33">
        <f t="shared" si="11"/>
        <v>-2.3333333333333321</v>
      </c>
      <c r="V24" s="745"/>
      <c r="W24" s="387"/>
      <c r="X24" s="387"/>
      <c r="Y24" s="387"/>
      <c r="Z24" s="387"/>
    </row>
    <row r="25" spans="1:26" ht="33" customHeight="1">
      <c r="A25" s="29">
        <v>4</v>
      </c>
      <c r="B25" s="30"/>
      <c r="C25" s="377"/>
      <c r="D25" s="30"/>
      <c r="E25" s="30"/>
      <c r="F25" s="378">
        <f t="shared" si="6"/>
        <v>0</v>
      </c>
      <c r="G25" s="32">
        <f t="shared" si="8"/>
        <v>0</v>
      </c>
      <c r="H25" s="31"/>
      <c r="I25" s="33">
        <f t="shared" si="9"/>
        <v>0</v>
      </c>
      <c r="J25" s="232"/>
      <c r="K25" s="29">
        <v>4</v>
      </c>
      <c r="L25" s="30">
        <v>4</v>
      </c>
      <c r="M25" s="377" t="s">
        <v>1624</v>
      </c>
      <c r="N25" s="30">
        <v>7</v>
      </c>
      <c r="O25" s="30">
        <v>5</v>
      </c>
      <c r="P25" s="378">
        <f t="shared" si="7"/>
        <v>35</v>
      </c>
      <c r="Q25" s="32">
        <f t="shared" si="10"/>
        <v>23.333333333333332</v>
      </c>
      <c r="R25" s="31">
        <v>28</v>
      </c>
      <c r="S25" s="33">
        <f t="shared" si="11"/>
        <v>4.6666666666666679</v>
      </c>
      <c r="V25" s="745"/>
      <c r="W25" s="745"/>
      <c r="X25" s="745"/>
      <c r="Y25" s="745"/>
      <c r="Z25" s="745"/>
    </row>
    <row r="26" spans="1:26" ht="33" customHeight="1">
      <c r="A26" s="29">
        <v>5</v>
      </c>
      <c r="B26" s="30"/>
      <c r="C26" s="377"/>
      <c r="D26" s="30"/>
      <c r="E26" s="30"/>
      <c r="F26" s="378">
        <f t="shared" si="6"/>
        <v>0</v>
      </c>
      <c r="G26" s="32">
        <f t="shared" si="8"/>
        <v>0</v>
      </c>
      <c r="H26" s="31"/>
      <c r="I26" s="33">
        <f t="shared" si="9"/>
        <v>0</v>
      </c>
      <c r="J26" s="232"/>
      <c r="K26" s="29">
        <v>5</v>
      </c>
      <c r="L26" s="30">
        <v>5</v>
      </c>
      <c r="M26" s="377" t="s">
        <v>1628</v>
      </c>
      <c r="N26" s="30">
        <v>7</v>
      </c>
      <c r="O26" s="30">
        <v>5</v>
      </c>
      <c r="P26" s="378">
        <f t="shared" si="7"/>
        <v>35</v>
      </c>
      <c r="Q26" s="32">
        <f t="shared" si="10"/>
        <v>23.333333333333332</v>
      </c>
      <c r="R26" s="31">
        <v>27</v>
      </c>
      <c r="S26" s="33">
        <f t="shared" si="11"/>
        <v>3.6666666666666679</v>
      </c>
      <c r="V26" s="745"/>
      <c r="W26" s="387"/>
      <c r="X26" s="387"/>
      <c r="Y26" s="387"/>
      <c r="Z26" s="387"/>
    </row>
    <row r="27" spans="1:26" ht="33" customHeight="1">
      <c r="A27" s="29">
        <v>6</v>
      </c>
      <c r="B27" s="30"/>
      <c r="C27" s="377"/>
      <c r="D27" s="30"/>
      <c r="E27" s="30"/>
      <c r="F27" s="378">
        <f t="shared" si="6"/>
        <v>0</v>
      </c>
      <c r="G27" s="32">
        <f t="shared" si="8"/>
        <v>0</v>
      </c>
      <c r="H27" s="31"/>
      <c r="I27" s="33">
        <f t="shared" si="9"/>
        <v>0</v>
      </c>
      <c r="J27" s="232"/>
      <c r="K27" s="29">
        <v>6</v>
      </c>
      <c r="L27" s="30">
        <v>6</v>
      </c>
      <c r="M27" s="377" t="s">
        <v>1643</v>
      </c>
      <c r="N27" s="30">
        <v>7</v>
      </c>
      <c r="O27" s="30">
        <v>5</v>
      </c>
      <c r="P27" s="378">
        <f t="shared" si="7"/>
        <v>35</v>
      </c>
      <c r="Q27" s="32">
        <f t="shared" si="10"/>
        <v>23.333333333333332</v>
      </c>
      <c r="R27" s="31">
        <v>27</v>
      </c>
      <c r="S27" s="33">
        <f t="shared" si="11"/>
        <v>3.6666666666666679</v>
      </c>
      <c r="V27" s="745"/>
      <c r="W27" s="387"/>
      <c r="X27" s="387"/>
      <c r="Y27" s="387"/>
      <c r="Z27" s="387"/>
    </row>
    <row r="28" spans="1:26" ht="33" customHeight="1">
      <c r="A28" s="29">
        <v>7</v>
      </c>
      <c r="B28" s="30"/>
      <c r="C28" s="377"/>
      <c r="D28" s="30"/>
      <c r="E28" s="30"/>
      <c r="F28" s="378">
        <f t="shared" si="6"/>
        <v>0</v>
      </c>
      <c r="G28" s="32">
        <f t="shared" si="8"/>
        <v>0</v>
      </c>
      <c r="H28" s="31"/>
      <c r="I28" s="33">
        <f t="shared" si="9"/>
        <v>0</v>
      </c>
      <c r="J28" s="232"/>
      <c r="K28" s="29">
        <v>7</v>
      </c>
      <c r="L28" s="30">
        <v>7</v>
      </c>
      <c r="M28" s="377" t="s">
        <v>1644</v>
      </c>
      <c r="N28" s="30">
        <v>8</v>
      </c>
      <c r="O28" s="30">
        <v>6</v>
      </c>
      <c r="P28" s="378">
        <f t="shared" si="7"/>
        <v>48</v>
      </c>
      <c r="Q28" s="32">
        <f t="shared" si="10"/>
        <v>32</v>
      </c>
      <c r="R28" s="31">
        <v>28</v>
      </c>
      <c r="S28" s="33">
        <f t="shared" si="11"/>
        <v>-4</v>
      </c>
      <c r="V28" s="745"/>
      <c r="W28" s="387"/>
      <c r="X28" s="387"/>
      <c r="Y28" s="387"/>
      <c r="Z28" s="387"/>
    </row>
    <row r="29" spans="1:26" ht="33" customHeight="1">
      <c r="A29" s="29">
        <v>8</v>
      </c>
      <c r="B29" s="30"/>
      <c r="C29" s="377"/>
      <c r="D29" s="30"/>
      <c r="E29" s="30"/>
      <c r="F29" s="378">
        <f t="shared" si="6"/>
        <v>0</v>
      </c>
      <c r="G29" s="32">
        <f t="shared" si="8"/>
        <v>0</v>
      </c>
      <c r="H29" s="31"/>
      <c r="I29" s="33">
        <f t="shared" si="9"/>
        <v>0</v>
      </c>
      <c r="J29" s="232"/>
      <c r="K29" s="29">
        <v>8</v>
      </c>
      <c r="L29" s="30"/>
      <c r="M29" s="386"/>
      <c r="N29" s="30"/>
      <c r="O29" s="30"/>
      <c r="P29" s="378">
        <f t="shared" si="7"/>
        <v>0</v>
      </c>
      <c r="Q29" s="32">
        <f t="shared" si="10"/>
        <v>0</v>
      </c>
      <c r="R29" s="31"/>
      <c r="S29" s="33">
        <f t="shared" si="11"/>
        <v>0</v>
      </c>
      <c r="V29" s="745"/>
      <c r="W29" s="387"/>
      <c r="X29" s="387"/>
      <c r="Y29" s="387"/>
      <c r="Z29" s="387"/>
    </row>
    <row r="30" spans="1:26" ht="33" customHeight="1">
      <c r="A30" s="29">
        <v>9</v>
      </c>
      <c r="B30" s="30"/>
      <c r="C30" s="386"/>
      <c r="D30" s="30"/>
      <c r="E30" s="30"/>
      <c r="F30" s="378">
        <f t="shared" si="6"/>
        <v>0</v>
      </c>
      <c r="G30" s="32">
        <f t="shared" si="8"/>
        <v>0</v>
      </c>
      <c r="H30" s="31"/>
      <c r="I30" s="33">
        <f t="shared" si="9"/>
        <v>0</v>
      </c>
      <c r="J30" s="232"/>
      <c r="K30" s="29">
        <v>9</v>
      </c>
      <c r="L30" s="30"/>
      <c r="M30" s="386"/>
      <c r="N30" s="30"/>
      <c r="O30" s="30"/>
      <c r="P30" s="378">
        <f t="shared" si="7"/>
        <v>0</v>
      </c>
      <c r="Q30" s="32">
        <f t="shared" si="10"/>
        <v>0</v>
      </c>
      <c r="R30" s="31"/>
      <c r="S30" s="33">
        <f t="shared" si="11"/>
        <v>0</v>
      </c>
      <c r="V30" s="745"/>
      <c r="W30" s="387"/>
      <c r="X30" s="387"/>
      <c r="Y30" s="387"/>
      <c r="Z30" s="387"/>
    </row>
    <row r="31" spans="1:26" ht="33" customHeight="1">
      <c r="A31" s="29">
        <v>10</v>
      </c>
      <c r="B31" s="30"/>
      <c r="C31" s="386"/>
      <c r="D31" s="30"/>
      <c r="E31" s="34"/>
      <c r="F31" s="378">
        <f t="shared" si="6"/>
        <v>0</v>
      </c>
      <c r="G31" s="32">
        <f t="shared" si="8"/>
        <v>0</v>
      </c>
      <c r="H31" s="31"/>
      <c r="I31" s="33">
        <f t="shared" si="9"/>
        <v>0</v>
      </c>
      <c r="J31" s="232"/>
      <c r="K31" s="29">
        <v>10</v>
      </c>
      <c r="L31" s="30"/>
      <c r="M31" s="386"/>
      <c r="N31" s="30"/>
      <c r="O31" s="34"/>
      <c r="P31" s="378">
        <f t="shared" si="7"/>
        <v>0</v>
      </c>
      <c r="Q31" s="32">
        <f t="shared" si="10"/>
        <v>0</v>
      </c>
      <c r="R31" s="31"/>
      <c r="S31" s="33">
        <f t="shared" si="11"/>
        <v>0</v>
      </c>
      <c r="V31" s="745"/>
      <c r="W31" s="387"/>
      <c r="X31" s="387"/>
      <c r="Y31" s="387"/>
      <c r="Z31" s="387"/>
    </row>
    <row r="32" spans="1:26" ht="33" customHeight="1">
      <c r="A32" s="35"/>
      <c r="B32" s="36"/>
      <c r="C32" s="753" t="s">
        <v>1317</v>
      </c>
      <c r="D32" s="754"/>
      <c r="E32" s="754"/>
      <c r="F32" s="754"/>
      <c r="G32" s="39">
        <f>SUM(G22:G31)</f>
        <v>60</v>
      </c>
      <c r="H32" s="388">
        <f>SUM(H22:H31)</f>
        <v>45</v>
      </c>
      <c r="I32" s="40">
        <f>SUM(I22:I31)</f>
        <v>-15</v>
      </c>
      <c r="J32" s="232"/>
      <c r="K32" s="35"/>
      <c r="L32" s="36"/>
      <c r="M32" s="753" t="s">
        <v>1318</v>
      </c>
      <c r="N32" s="754"/>
      <c r="O32" s="754"/>
      <c r="P32" s="754"/>
      <c r="Q32" s="39">
        <f>SUM(Q22:Q31)</f>
        <v>172</v>
      </c>
      <c r="R32" s="388">
        <f>SUM(R22:R31)</f>
        <v>176</v>
      </c>
      <c r="S32" s="40">
        <f>SUM(S22:S31)</f>
        <v>4.0000000000000071</v>
      </c>
      <c r="V32" s="745"/>
      <c r="W32" s="387"/>
      <c r="X32" s="387"/>
      <c r="Y32" s="387"/>
      <c r="Z32" s="387"/>
    </row>
    <row r="33" spans="1:26" s="392" customFormat="1" ht="28.95" customHeight="1">
      <c r="A33" s="761" t="s">
        <v>94</v>
      </c>
      <c r="B33" s="762"/>
      <c r="C33" s="762"/>
      <c r="D33" s="762"/>
      <c r="E33" s="762"/>
      <c r="F33" s="762"/>
      <c r="G33" s="762"/>
      <c r="H33" s="762"/>
      <c r="I33" s="763"/>
      <c r="J33" s="389"/>
      <c r="K33" s="761" t="s">
        <v>95</v>
      </c>
      <c r="L33" s="762"/>
      <c r="M33" s="762"/>
      <c r="N33" s="762"/>
      <c r="O33" s="762"/>
      <c r="P33" s="762"/>
      <c r="Q33" s="762"/>
      <c r="R33" s="762"/>
      <c r="S33" s="763"/>
      <c r="V33" s="745"/>
      <c r="W33" s="387"/>
      <c r="X33" s="387"/>
      <c r="Y33" s="387"/>
      <c r="Z33" s="387"/>
    </row>
    <row r="34" spans="1:26" ht="39" customHeight="1">
      <c r="A34" s="764" t="s">
        <v>46</v>
      </c>
      <c r="B34" s="765"/>
      <c r="C34" s="765"/>
      <c r="D34" s="765"/>
      <c r="E34" s="765"/>
      <c r="F34" s="765"/>
      <c r="G34" s="765"/>
      <c r="H34" s="765"/>
      <c r="I34" s="766"/>
      <c r="J34" s="232"/>
      <c r="K34" s="764" t="s">
        <v>46</v>
      </c>
      <c r="L34" s="765"/>
      <c r="M34" s="765"/>
      <c r="N34" s="765"/>
      <c r="O34" s="765"/>
      <c r="P34" s="765"/>
      <c r="Q34" s="765"/>
      <c r="R34" s="765"/>
      <c r="S34" s="766"/>
      <c r="V34" s="745"/>
      <c r="W34" s="387"/>
      <c r="X34" s="387"/>
      <c r="Y34" s="387"/>
      <c r="Z34" s="387"/>
    </row>
    <row r="35" spans="1:26" ht="22.05" customHeight="1">
      <c r="A35" s="758" t="s">
        <v>11</v>
      </c>
      <c r="B35" s="758" t="s">
        <v>97</v>
      </c>
      <c r="C35" s="758" t="s">
        <v>10</v>
      </c>
      <c r="D35" s="757" t="s">
        <v>98</v>
      </c>
      <c r="E35" s="757"/>
      <c r="F35" s="757"/>
      <c r="G35" s="760" t="s">
        <v>99</v>
      </c>
      <c r="H35" s="755" t="s">
        <v>100</v>
      </c>
      <c r="I35" s="757" t="s">
        <v>1620</v>
      </c>
      <c r="J35" s="232"/>
      <c r="K35" s="758" t="s">
        <v>11</v>
      </c>
      <c r="L35" s="758" t="s">
        <v>97</v>
      </c>
      <c r="M35" s="758" t="s">
        <v>10</v>
      </c>
      <c r="N35" s="757" t="s">
        <v>98</v>
      </c>
      <c r="O35" s="757"/>
      <c r="P35" s="757"/>
      <c r="Q35" s="760" t="s">
        <v>99</v>
      </c>
      <c r="R35" s="755" t="s">
        <v>100</v>
      </c>
      <c r="S35" s="757" t="s">
        <v>1620</v>
      </c>
      <c r="V35" s="745"/>
      <c r="W35" s="387"/>
      <c r="X35" s="387"/>
      <c r="Y35" s="387"/>
      <c r="Z35" s="387"/>
    </row>
    <row r="36" spans="1:26" ht="22.05" customHeight="1">
      <c r="A36" s="759"/>
      <c r="B36" s="759"/>
      <c r="C36" s="759"/>
      <c r="D36" s="28" t="s">
        <v>102</v>
      </c>
      <c r="E36" s="28" t="s">
        <v>103</v>
      </c>
      <c r="F36" s="28" t="s">
        <v>98</v>
      </c>
      <c r="G36" s="760"/>
      <c r="H36" s="756"/>
      <c r="I36" s="757"/>
      <c r="J36" s="232"/>
      <c r="K36" s="759"/>
      <c r="L36" s="759"/>
      <c r="M36" s="759"/>
      <c r="N36" s="28" t="s">
        <v>102</v>
      </c>
      <c r="O36" s="28" t="s">
        <v>103</v>
      </c>
      <c r="P36" s="28" t="s">
        <v>98</v>
      </c>
      <c r="Q36" s="760"/>
      <c r="R36" s="756"/>
      <c r="S36" s="757"/>
      <c r="V36" s="745"/>
      <c r="W36" s="387"/>
      <c r="X36" s="387"/>
      <c r="Y36" s="387"/>
      <c r="Z36" s="387"/>
    </row>
    <row r="37" spans="1:26" ht="28.05" customHeight="1">
      <c r="A37" s="29">
        <v>1</v>
      </c>
      <c r="B37" s="30">
        <v>22</v>
      </c>
      <c r="C37" s="377" t="s">
        <v>1645</v>
      </c>
      <c r="D37" s="30">
        <v>6</v>
      </c>
      <c r="E37" s="30">
        <v>5</v>
      </c>
      <c r="F37" s="378">
        <f t="shared" ref="F37:F57" si="12">E37*D37</f>
        <v>30</v>
      </c>
      <c r="G37" s="32">
        <f>F37/1.5</f>
        <v>20</v>
      </c>
      <c r="H37" s="31">
        <v>17</v>
      </c>
      <c r="I37" s="33">
        <f>H37-G37</f>
        <v>-3</v>
      </c>
      <c r="J37" s="232"/>
      <c r="K37" s="29">
        <v>1</v>
      </c>
      <c r="L37" s="30">
        <v>12</v>
      </c>
      <c r="M37" s="377" t="s">
        <v>1622</v>
      </c>
      <c r="N37" s="30">
        <v>7</v>
      </c>
      <c r="O37" s="30">
        <v>5</v>
      </c>
      <c r="P37" s="378">
        <f t="shared" ref="P37:P57" si="13">O37*N37</f>
        <v>35</v>
      </c>
      <c r="Q37" s="32">
        <f>P37/1.5</f>
        <v>23.333333333333332</v>
      </c>
      <c r="R37" s="31">
        <v>23</v>
      </c>
      <c r="S37" s="33">
        <f>R37-Q37</f>
        <v>-0.33333333333333215</v>
      </c>
      <c r="V37" s="745"/>
      <c r="W37" s="387"/>
      <c r="X37" s="387"/>
      <c r="Y37" s="387"/>
      <c r="Z37" s="387"/>
    </row>
    <row r="38" spans="1:26" ht="28.05" customHeight="1">
      <c r="A38" s="29">
        <v>2</v>
      </c>
      <c r="B38" s="30">
        <v>19</v>
      </c>
      <c r="C38" s="377" t="s">
        <v>1646</v>
      </c>
      <c r="D38" s="30">
        <v>6</v>
      </c>
      <c r="E38" s="30">
        <v>5</v>
      </c>
      <c r="F38" s="378">
        <f t="shared" si="12"/>
        <v>30</v>
      </c>
      <c r="G38" s="32">
        <f t="shared" ref="G38:G57" si="14">F38/1.5</f>
        <v>20</v>
      </c>
      <c r="H38" s="31">
        <v>22</v>
      </c>
      <c r="I38" s="33">
        <f t="shared" ref="I38:I57" si="15">H38-G38</f>
        <v>2</v>
      </c>
      <c r="J38" s="232"/>
      <c r="K38" s="29">
        <v>2</v>
      </c>
      <c r="L38" s="30">
        <v>11</v>
      </c>
      <c r="M38" s="377" t="s">
        <v>1626</v>
      </c>
      <c r="N38" s="30">
        <v>7</v>
      </c>
      <c r="O38" s="30">
        <v>5</v>
      </c>
      <c r="P38" s="378">
        <f t="shared" si="13"/>
        <v>35</v>
      </c>
      <c r="Q38" s="32">
        <f t="shared" ref="Q38:Q57" si="16">P38/1.5</f>
        <v>23.333333333333332</v>
      </c>
      <c r="R38" s="31">
        <v>23</v>
      </c>
      <c r="S38" s="33">
        <f t="shared" ref="S38:S57" si="17">R38-Q38</f>
        <v>-0.33333333333333215</v>
      </c>
      <c r="V38" s="745"/>
      <c r="W38" s="387"/>
      <c r="X38" s="387"/>
      <c r="Y38" s="387"/>
      <c r="Z38" s="387"/>
    </row>
    <row r="39" spans="1:26" ht="28.05" customHeight="1">
      <c r="A39" s="29">
        <v>3</v>
      </c>
      <c r="B39" s="30">
        <v>20</v>
      </c>
      <c r="C39" s="377" t="s">
        <v>1647</v>
      </c>
      <c r="D39" s="30">
        <v>6</v>
      </c>
      <c r="E39" s="30">
        <v>5</v>
      </c>
      <c r="F39" s="378">
        <f t="shared" si="12"/>
        <v>30</v>
      </c>
      <c r="G39" s="32">
        <f t="shared" si="14"/>
        <v>20</v>
      </c>
      <c r="H39" s="31">
        <v>29</v>
      </c>
      <c r="I39" s="33">
        <f t="shared" si="15"/>
        <v>9</v>
      </c>
      <c r="J39" s="232"/>
      <c r="K39" s="29">
        <v>3</v>
      </c>
      <c r="L39" s="30"/>
      <c r="M39" s="377" t="s">
        <v>1630</v>
      </c>
      <c r="N39" s="30">
        <v>7</v>
      </c>
      <c r="O39" s="30">
        <v>5</v>
      </c>
      <c r="P39" s="378">
        <f t="shared" si="13"/>
        <v>35</v>
      </c>
      <c r="Q39" s="32">
        <f t="shared" si="16"/>
        <v>23.333333333333332</v>
      </c>
      <c r="R39" s="31">
        <v>23</v>
      </c>
      <c r="S39" s="33">
        <f t="shared" si="17"/>
        <v>-0.33333333333333215</v>
      </c>
      <c r="V39" s="745"/>
      <c r="W39" s="387"/>
      <c r="X39" s="387"/>
      <c r="Y39" s="387"/>
      <c r="Z39" s="387"/>
    </row>
    <row r="40" spans="1:26" ht="28.05" customHeight="1">
      <c r="A40" s="29">
        <v>4</v>
      </c>
      <c r="B40" s="30">
        <v>58</v>
      </c>
      <c r="C40" s="377" t="s">
        <v>1648</v>
      </c>
      <c r="D40" s="30">
        <v>6</v>
      </c>
      <c r="E40" s="30">
        <v>5</v>
      </c>
      <c r="F40" s="378">
        <f t="shared" si="12"/>
        <v>30</v>
      </c>
      <c r="G40" s="32">
        <f t="shared" si="14"/>
        <v>20</v>
      </c>
      <c r="H40" s="31">
        <v>25</v>
      </c>
      <c r="I40" s="33">
        <f t="shared" si="15"/>
        <v>5</v>
      </c>
      <c r="J40" s="232"/>
      <c r="K40" s="29">
        <v>4</v>
      </c>
      <c r="L40" s="30"/>
      <c r="M40" s="377" t="s">
        <v>1634</v>
      </c>
      <c r="N40" s="30">
        <v>7</v>
      </c>
      <c r="O40" s="30">
        <v>5</v>
      </c>
      <c r="P40" s="378">
        <f t="shared" si="13"/>
        <v>35</v>
      </c>
      <c r="Q40" s="32">
        <f t="shared" si="16"/>
        <v>23.333333333333332</v>
      </c>
      <c r="R40" s="31">
        <v>23</v>
      </c>
      <c r="S40" s="33">
        <f t="shared" si="17"/>
        <v>-0.33333333333333215</v>
      </c>
      <c r="V40" s="745"/>
      <c r="W40" s="387"/>
      <c r="X40" s="387"/>
      <c r="Y40" s="387"/>
      <c r="Z40" s="387"/>
    </row>
    <row r="41" spans="1:26" ht="28.05" customHeight="1">
      <c r="A41" s="29">
        <v>5</v>
      </c>
      <c r="B41" s="30">
        <v>60</v>
      </c>
      <c r="C41" s="377" t="s">
        <v>1649</v>
      </c>
      <c r="D41" s="30">
        <v>6</v>
      </c>
      <c r="E41" s="30">
        <v>5</v>
      </c>
      <c r="F41" s="378">
        <f t="shared" si="12"/>
        <v>30</v>
      </c>
      <c r="G41" s="32">
        <f t="shared" si="14"/>
        <v>20</v>
      </c>
      <c r="H41" s="31">
        <v>32</v>
      </c>
      <c r="I41" s="33">
        <f t="shared" si="15"/>
        <v>12</v>
      </c>
      <c r="J41" s="232"/>
      <c r="K41" s="29">
        <v>5</v>
      </c>
      <c r="L41" s="30" t="s">
        <v>1650</v>
      </c>
      <c r="M41" s="377" t="s">
        <v>1636</v>
      </c>
      <c r="N41" s="30">
        <v>7</v>
      </c>
      <c r="O41" s="30">
        <v>5</v>
      </c>
      <c r="P41" s="378">
        <f t="shared" si="13"/>
        <v>35</v>
      </c>
      <c r="Q41" s="32">
        <f t="shared" si="16"/>
        <v>23.333333333333332</v>
      </c>
      <c r="R41" s="31">
        <v>17</v>
      </c>
      <c r="S41" s="33">
        <f t="shared" si="17"/>
        <v>-6.3333333333333321</v>
      </c>
      <c r="V41" s="746"/>
      <c r="W41" s="746"/>
      <c r="X41" s="393"/>
      <c r="Y41" s="393"/>
      <c r="Z41" s="393"/>
    </row>
    <row r="42" spans="1:26" ht="28.05" customHeight="1">
      <c r="A42" s="29">
        <v>6</v>
      </c>
      <c r="B42" s="30">
        <v>61</v>
      </c>
      <c r="C42" s="377" t="s">
        <v>1651</v>
      </c>
      <c r="D42" s="30">
        <v>6</v>
      </c>
      <c r="E42" s="30">
        <v>5</v>
      </c>
      <c r="F42" s="378">
        <f t="shared" si="12"/>
        <v>30</v>
      </c>
      <c r="G42" s="32">
        <f t="shared" si="14"/>
        <v>20</v>
      </c>
      <c r="H42" s="31">
        <v>32</v>
      </c>
      <c r="I42" s="33">
        <f t="shared" si="15"/>
        <v>12</v>
      </c>
      <c r="J42" s="232"/>
      <c r="K42" s="29">
        <v>6</v>
      </c>
      <c r="L42" s="30" t="s">
        <v>1650</v>
      </c>
      <c r="M42" s="377" t="s">
        <v>1638</v>
      </c>
      <c r="N42" s="30">
        <v>7</v>
      </c>
      <c r="O42" s="30">
        <v>5</v>
      </c>
      <c r="P42" s="378">
        <f t="shared" si="13"/>
        <v>35</v>
      </c>
      <c r="Q42" s="32">
        <f t="shared" si="16"/>
        <v>23.333333333333332</v>
      </c>
      <c r="R42" s="31">
        <v>16</v>
      </c>
      <c r="S42" s="33">
        <f t="shared" si="17"/>
        <v>-7.3333333333333321</v>
      </c>
    </row>
    <row r="43" spans="1:26" ht="28.05" customHeight="1">
      <c r="A43" s="29">
        <v>7</v>
      </c>
      <c r="B43" s="30"/>
      <c r="C43" s="377"/>
      <c r="D43" s="30"/>
      <c r="E43" s="34"/>
      <c r="F43" s="378">
        <f t="shared" si="12"/>
        <v>0</v>
      </c>
      <c r="G43" s="32">
        <f t="shared" si="14"/>
        <v>0</v>
      </c>
      <c r="H43" s="31"/>
      <c r="I43" s="33">
        <f t="shared" si="15"/>
        <v>0</v>
      </c>
      <c r="J43" s="232"/>
      <c r="K43" s="29">
        <v>7</v>
      </c>
      <c r="L43" s="30"/>
      <c r="M43" s="377" t="s">
        <v>1624</v>
      </c>
      <c r="N43" s="30">
        <v>7</v>
      </c>
      <c r="O43" s="30">
        <v>5</v>
      </c>
      <c r="P43" s="378">
        <f t="shared" si="13"/>
        <v>35</v>
      </c>
      <c r="Q43" s="32">
        <f t="shared" si="16"/>
        <v>23.333333333333332</v>
      </c>
      <c r="R43" s="31">
        <v>23</v>
      </c>
      <c r="S43" s="33">
        <f t="shared" si="17"/>
        <v>-0.33333333333333215</v>
      </c>
    </row>
    <row r="44" spans="1:26" ht="28.05" customHeight="1">
      <c r="A44" s="29">
        <v>8</v>
      </c>
      <c r="B44" s="30"/>
      <c r="C44" s="377"/>
      <c r="D44" s="30"/>
      <c r="E44" s="30"/>
      <c r="F44" s="378">
        <f t="shared" si="12"/>
        <v>0</v>
      </c>
      <c r="G44" s="32">
        <f t="shared" si="14"/>
        <v>0</v>
      </c>
      <c r="H44" s="31"/>
      <c r="I44" s="33">
        <f t="shared" si="15"/>
        <v>0</v>
      </c>
      <c r="J44" s="232"/>
      <c r="K44" s="29">
        <v>8</v>
      </c>
      <c r="L44" s="30"/>
      <c r="M44" s="377" t="s">
        <v>1628</v>
      </c>
      <c r="N44" s="30">
        <v>7</v>
      </c>
      <c r="O44" s="30">
        <v>5</v>
      </c>
      <c r="P44" s="378">
        <f t="shared" si="13"/>
        <v>35</v>
      </c>
      <c r="Q44" s="32">
        <f t="shared" si="16"/>
        <v>23.333333333333332</v>
      </c>
      <c r="R44" s="31">
        <v>24</v>
      </c>
      <c r="S44" s="33">
        <f t="shared" si="17"/>
        <v>0.66666666666666785</v>
      </c>
    </row>
    <row r="45" spans="1:26" ht="28.05" customHeight="1">
      <c r="A45" s="29">
        <v>9</v>
      </c>
      <c r="B45" s="30"/>
      <c r="C45" s="377"/>
      <c r="D45" s="30"/>
      <c r="E45" s="30"/>
      <c r="F45" s="378">
        <f t="shared" si="12"/>
        <v>0</v>
      </c>
      <c r="G45" s="32">
        <f t="shared" si="14"/>
        <v>0</v>
      </c>
      <c r="H45" s="31"/>
      <c r="I45" s="33">
        <f t="shared" si="15"/>
        <v>0</v>
      </c>
      <c r="J45" s="232"/>
      <c r="K45" s="29">
        <v>9</v>
      </c>
      <c r="L45" s="30">
        <v>8</v>
      </c>
      <c r="M45" s="377" t="s">
        <v>1632</v>
      </c>
      <c r="N45" s="30">
        <v>7</v>
      </c>
      <c r="O45" s="30">
        <v>5</v>
      </c>
      <c r="P45" s="378">
        <f t="shared" si="13"/>
        <v>35</v>
      </c>
      <c r="Q45" s="32">
        <f t="shared" si="16"/>
        <v>23.333333333333332</v>
      </c>
      <c r="R45" s="31">
        <v>23</v>
      </c>
      <c r="S45" s="33">
        <f t="shared" si="17"/>
        <v>-0.33333333333333215</v>
      </c>
    </row>
    <row r="46" spans="1:26" ht="28.05" customHeight="1">
      <c r="A46" s="29">
        <v>10</v>
      </c>
      <c r="B46" s="30"/>
      <c r="C46" s="377"/>
      <c r="D46" s="30"/>
      <c r="E46" s="30"/>
      <c r="F46" s="378">
        <f t="shared" si="12"/>
        <v>0</v>
      </c>
      <c r="G46" s="32">
        <f t="shared" si="14"/>
        <v>0</v>
      </c>
      <c r="H46" s="31"/>
      <c r="I46" s="33">
        <f t="shared" si="15"/>
        <v>0</v>
      </c>
      <c r="J46" s="232"/>
      <c r="K46" s="29">
        <v>10</v>
      </c>
      <c r="L46" s="30">
        <v>5</v>
      </c>
      <c r="M46" s="377" t="s">
        <v>1635</v>
      </c>
      <c r="N46" s="30">
        <v>7</v>
      </c>
      <c r="O46" s="30">
        <v>5</v>
      </c>
      <c r="P46" s="378">
        <f t="shared" si="13"/>
        <v>35</v>
      </c>
      <c r="Q46" s="32">
        <f t="shared" si="16"/>
        <v>23.333333333333332</v>
      </c>
      <c r="R46" s="31">
        <v>25</v>
      </c>
      <c r="S46" s="33">
        <f t="shared" si="17"/>
        <v>1.6666666666666679</v>
      </c>
    </row>
    <row r="47" spans="1:26" ht="28.05" customHeight="1">
      <c r="A47" s="29">
        <v>11</v>
      </c>
      <c r="B47" s="30"/>
      <c r="C47" s="377"/>
      <c r="D47" s="30"/>
      <c r="E47" s="30"/>
      <c r="F47" s="378">
        <f t="shared" si="12"/>
        <v>0</v>
      </c>
      <c r="G47" s="32">
        <f t="shared" si="14"/>
        <v>0</v>
      </c>
      <c r="H47" s="31"/>
      <c r="I47" s="33">
        <f t="shared" si="15"/>
        <v>0</v>
      </c>
      <c r="J47" s="232"/>
      <c r="K47" s="29">
        <v>11</v>
      </c>
      <c r="L47" s="30" t="s">
        <v>1650</v>
      </c>
      <c r="M47" s="377" t="s">
        <v>1637</v>
      </c>
      <c r="N47" s="30">
        <v>7</v>
      </c>
      <c r="O47" s="30">
        <v>5</v>
      </c>
      <c r="P47" s="378">
        <f t="shared" si="13"/>
        <v>35</v>
      </c>
      <c r="Q47" s="32">
        <f t="shared" si="16"/>
        <v>23.333333333333332</v>
      </c>
      <c r="R47" s="31">
        <v>17</v>
      </c>
      <c r="S47" s="33">
        <f t="shared" si="17"/>
        <v>-6.3333333333333321</v>
      </c>
    </row>
    <row r="48" spans="1:26" ht="28.05" customHeight="1">
      <c r="A48" s="29">
        <v>12</v>
      </c>
      <c r="B48" s="30"/>
      <c r="C48" s="377"/>
      <c r="D48" s="30"/>
      <c r="E48" s="30"/>
      <c r="F48" s="378">
        <f t="shared" si="12"/>
        <v>0</v>
      </c>
      <c r="G48" s="32">
        <f t="shared" si="14"/>
        <v>0</v>
      </c>
      <c r="H48" s="31"/>
      <c r="I48" s="33">
        <f t="shared" si="15"/>
        <v>0</v>
      </c>
      <c r="J48" s="232"/>
      <c r="K48" s="29">
        <v>12</v>
      </c>
      <c r="L48" s="30">
        <v>1</v>
      </c>
      <c r="M48" s="377" t="s">
        <v>1643</v>
      </c>
      <c r="N48" s="30">
        <v>7</v>
      </c>
      <c r="O48" s="30">
        <v>5</v>
      </c>
      <c r="P48" s="378">
        <f t="shared" si="13"/>
        <v>35</v>
      </c>
      <c r="Q48" s="32">
        <f t="shared" si="16"/>
        <v>23.333333333333332</v>
      </c>
      <c r="R48" s="31">
        <v>30</v>
      </c>
      <c r="S48" s="33">
        <f t="shared" si="17"/>
        <v>6.6666666666666679</v>
      </c>
    </row>
    <row r="49" spans="1:19" ht="28.05" customHeight="1">
      <c r="A49" s="29">
        <v>13</v>
      </c>
      <c r="B49" s="30"/>
      <c r="C49" s="377"/>
      <c r="D49" s="30"/>
      <c r="E49" s="30"/>
      <c r="F49" s="378">
        <f t="shared" si="12"/>
        <v>0</v>
      </c>
      <c r="G49" s="32">
        <f t="shared" si="14"/>
        <v>0</v>
      </c>
      <c r="H49" s="31"/>
      <c r="I49" s="33">
        <f t="shared" si="15"/>
        <v>0</v>
      </c>
      <c r="J49" s="232"/>
      <c r="K49" s="29">
        <v>13</v>
      </c>
      <c r="L49" s="30">
        <v>2</v>
      </c>
      <c r="M49" s="377" t="s">
        <v>1644</v>
      </c>
      <c r="N49" s="30">
        <v>7</v>
      </c>
      <c r="O49" s="30">
        <v>5</v>
      </c>
      <c r="P49" s="378">
        <f t="shared" si="13"/>
        <v>35</v>
      </c>
      <c r="Q49" s="32">
        <f t="shared" si="16"/>
        <v>23.333333333333332</v>
      </c>
      <c r="R49" s="31">
        <v>28</v>
      </c>
      <c r="S49" s="33">
        <f t="shared" si="17"/>
        <v>4.6666666666666679</v>
      </c>
    </row>
    <row r="50" spans="1:19" ht="28.05" customHeight="1">
      <c r="A50" s="29">
        <v>14</v>
      </c>
      <c r="B50" s="30"/>
      <c r="C50" s="377"/>
      <c r="D50" s="30"/>
      <c r="E50" s="30"/>
      <c r="F50" s="378">
        <f t="shared" si="12"/>
        <v>0</v>
      </c>
      <c r="G50" s="32">
        <f t="shared" si="14"/>
        <v>0</v>
      </c>
      <c r="H50" s="31"/>
      <c r="I50" s="33">
        <f t="shared" si="15"/>
        <v>0</v>
      </c>
      <c r="J50" s="232"/>
      <c r="K50" s="29">
        <v>14</v>
      </c>
      <c r="L50" s="30">
        <v>3</v>
      </c>
      <c r="M50" s="377" t="s">
        <v>1652</v>
      </c>
      <c r="N50" s="30">
        <v>7</v>
      </c>
      <c r="O50" s="30">
        <v>5</v>
      </c>
      <c r="P50" s="378">
        <f t="shared" si="13"/>
        <v>35</v>
      </c>
      <c r="Q50" s="32">
        <f t="shared" si="16"/>
        <v>23.333333333333332</v>
      </c>
      <c r="R50" s="31">
        <v>26</v>
      </c>
      <c r="S50" s="33">
        <f t="shared" si="17"/>
        <v>2.6666666666666679</v>
      </c>
    </row>
    <row r="51" spans="1:19" ht="28.05" customHeight="1">
      <c r="A51" s="29">
        <v>15</v>
      </c>
      <c r="B51" s="30"/>
      <c r="C51" s="377"/>
      <c r="D51" s="30"/>
      <c r="E51" s="30"/>
      <c r="F51" s="378">
        <f t="shared" si="12"/>
        <v>0</v>
      </c>
      <c r="G51" s="32">
        <f t="shared" si="14"/>
        <v>0</v>
      </c>
      <c r="H51" s="31"/>
      <c r="I51" s="33">
        <f t="shared" si="15"/>
        <v>0</v>
      </c>
      <c r="J51" s="232"/>
      <c r="K51" s="29">
        <v>15</v>
      </c>
      <c r="L51" s="30">
        <v>4</v>
      </c>
      <c r="M51" s="377" t="s">
        <v>1653</v>
      </c>
      <c r="N51" s="30">
        <v>7</v>
      </c>
      <c r="O51" s="30">
        <v>5</v>
      </c>
      <c r="P51" s="378">
        <f t="shared" si="13"/>
        <v>35</v>
      </c>
      <c r="Q51" s="32">
        <f t="shared" si="16"/>
        <v>23.333333333333332</v>
      </c>
      <c r="R51" s="31">
        <v>28</v>
      </c>
      <c r="S51" s="33">
        <f t="shared" si="17"/>
        <v>4.6666666666666679</v>
      </c>
    </row>
    <row r="52" spans="1:19" ht="28.05" customHeight="1">
      <c r="A52" s="29">
        <v>16</v>
      </c>
      <c r="B52" s="30"/>
      <c r="C52" s="377"/>
      <c r="D52" s="30"/>
      <c r="E52" s="30"/>
      <c r="F52" s="378">
        <f t="shared" si="12"/>
        <v>0</v>
      </c>
      <c r="G52" s="32">
        <f t="shared" si="14"/>
        <v>0</v>
      </c>
      <c r="H52" s="31"/>
      <c r="I52" s="33">
        <f t="shared" si="15"/>
        <v>0</v>
      </c>
      <c r="J52" s="232"/>
      <c r="K52" s="29">
        <v>16</v>
      </c>
      <c r="L52" s="30">
        <v>10</v>
      </c>
      <c r="M52" s="377" t="s">
        <v>1654</v>
      </c>
      <c r="N52" s="30">
        <v>7</v>
      </c>
      <c r="O52" s="30">
        <v>5</v>
      </c>
      <c r="P52" s="378">
        <f t="shared" si="13"/>
        <v>35</v>
      </c>
      <c r="Q52" s="32">
        <f t="shared" si="16"/>
        <v>23.333333333333332</v>
      </c>
      <c r="R52" s="31">
        <v>0</v>
      </c>
      <c r="S52" s="33">
        <f t="shared" si="17"/>
        <v>-23.333333333333332</v>
      </c>
    </row>
    <row r="53" spans="1:19" ht="28.05" customHeight="1">
      <c r="A53" s="29">
        <v>17</v>
      </c>
      <c r="B53" s="30"/>
      <c r="C53" s="377"/>
      <c r="D53" s="30"/>
      <c r="E53" s="30"/>
      <c r="F53" s="378">
        <f t="shared" si="12"/>
        <v>0</v>
      </c>
      <c r="G53" s="32">
        <f t="shared" si="14"/>
        <v>0</v>
      </c>
      <c r="H53" s="31"/>
      <c r="I53" s="33">
        <f t="shared" si="15"/>
        <v>0</v>
      </c>
      <c r="J53" s="232"/>
      <c r="K53" s="29">
        <v>17</v>
      </c>
      <c r="L53" s="30">
        <v>15</v>
      </c>
      <c r="M53" s="377" t="s">
        <v>1654</v>
      </c>
      <c r="N53" s="30">
        <v>7</v>
      </c>
      <c r="O53" s="30">
        <v>5</v>
      </c>
      <c r="P53" s="378">
        <f t="shared" si="13"/>
        <v>35</v>
      </c>
      <c r="Q53" s="32">
        <f t="shared" si="16"/>
        <v>23.333333333333332</v>
      </c>
      <c r="R53" s="31">
        <v>0</v>
      </c>
      <c r="S53" s="33">
        <f t="shared" si="17"/>
        <v>-23.333333333333332</v>
      </c>
    </row>
    <row r="54" spans="1:19" ht="28.05" customHeight="1">
      <c r="A54" s="29">
        <v>18</v>
      </c>
      <c r="B54" s="30"/>
      <c r="C54" s="377"/>
      <c r="D54" s="30"/>
      <c r="E54" s="30"/>
      <c r="F54" s="378">
        <f t="shared" si="12"/>
        <v>0</v>
      </c>
      <c r="G54" s="32">
        <f t="shared" si="14"/>
        <v>0</v>
      </c>
      <c r="H54" s="31"/>
      <c r="I54" s="33">
        <f t="shared" si="15"/>
        <v>0</v>
      </c>
      <c r="J54" s="232"/>
      <c r="K54" s="29">
        <v>18</v>
      </c>
      <c r="L54" s="30"/>
      <c r="M54" s="377"/>
      <c r="N54" s="30"/>
      <c r="O54" s="30"/>
      <c r="P54" s="378">
        <f t="shared" si="13"/>
        <v>0</v>
      </c>
      <c r="Q54" s="32">
        <f t="shared" si="16"/>
        <v>0</v>
      </c>
      <c r="R54" s="31"/>
      <c r="S54" s="33">
        <f t="shared" si="17"/>
        <v>0</v>
      </c>
    </row>
    <row r="55" spans="1:19" ht="28.05" customHeight="1">
      <c r="A55" s="29">
        <v>19</v>
      </c>
      <c r="B55" s="30"/>
      <c r="C55" s="377"/>
      <c r="D55" s="30"/>
      <c r="E55" s="30"/>
      <c r="F55" s="378">
        <f t="shared" si="12"/>
        <v>0</v>
      </c>
      <c r="G55" s="32">
        <f t="shared" si="14"/>
        <v>0</v>
      </c>
      <c r="H55" s="31"/>
      <c r="I55" s="33">
        <f t="shared" si="15"/>
        <v>0</v>
      </c>
      <c r="J55" s="232"/>
      <c r="K55" s="29">
        <v>19</v>
      </c>
      <c r="L55" s="30"/>
      <c r="M55" s="377"/>
      <c r="N55" s="30"/>
      <c r="O55" s="30"/>
      <c r="P55" s="378">
        <f t="shared" si="13"/>
        <v>0</v>
      </c>
      <c r="Q55" s="32">
        <f t="shared" si="16"/>
        <v>0</v>
      </c>
      <c r="R55" s="31"/>
      <c r="S55" s="33">
        <f t="shared" si="17"/>
        <v>0</v>
      </c>
    </row>
    <row r="56" spans="1:19" ht="28.05" customHeight="1">
      <c r="A56" s="29">
        <v>20</v>
      </c>
      <c r="B56" s="30"/>
      <c r="C56" s="377"/>
      <c r="D56" s="30"/>
      <c r="E56" s="30"/>
      <c r="F56" s="378">
        <f t="shared" si="12"/>
        <v>0</v>
      </c>
      <c r="G56" s="32">
        <f t="shared" si="14"/>
        <v>0</v>
      </c>
      <c r="H56" s="31"/>
      <c r="I56" s="33">
        <f t="shared" si="15"/>
        <v>0</v>
      </c>
      <c r="J56" s="232"/>
      <c r="K56" s="29">
        <v>20</v>
      </c>
      <c r="L56" s="30"/>
      <c r="M56" s="377"/>
      <c r="N56" s="30"/>
      <c r="O56" s="30"/>
      <c r="P56" s="378">
        <f t="shared" si="13"/>
        <v>0</v>
      </c>
      <c r="Q56" s="32">
        <f t="shared" si="16"/>
        <v>0</v>
      </c>
      <c r="R56" s="31"/>
      <c r="S56" s="33">
        <f t="shared" si="17"/>
        <v>0</v>
      </c>
    </row>
    <row r="57" spans="1:19" ht="28.05" customHeight="1">
      <c r="A57" s="29">
        <v>21</v>
      </c>
      <c r="B57" s="30"/>
      <c r="C57" s="377"/>
      <c r="D57" s="30"/>
      <c r="E57" s="30"/>
      <c r="F57" s="378">
        <f t="shared" si="12"/>
        <v>0</v>
      </c>
      <c r="G57" s="32">
        <f t="shared" si="14"/>
        <v>0</v>
      </c>
      <c r="H57" s="31"/>
      <c r="I57" s="33">
        <f t="shared" si="15"/>
        <v>0</v>
      </c>
      <c r="J57" s="232"/>
      <c r="K57" s="29">
        <v>21</v>
      </c>
      <c r="L57" s="30"/>
      <c r="M57" s="377"/>
      <c r="N57" s="30"/>
      <c r="O57" s="30"/>
      <c r="P57" s="378">
        <f t="shared" si="13"/>
        <v>0</v>
      </c>
      <c r="Q57" s="32">
        <f t="shared" si="16"/>
        <v>0</v>
      </c>
      <c r="R57" s="31"/>
      <c r="S57" s="33">
        <f t="shared" si="17"/>
        <v>0</v>
      </c>
    </row>
    <row r="58" spans="1:19" ht="28.05" customHeight="1">
      <c r="A58" s="36"/>
      <c r="B58" s="36"/>
      <c r="C58" s="753" t="s">
        <v>105</v>
      </c>
      <c r="D58" s="754"/>
      <c r="E58" s="754"/>
      <c r="F58" s="754"/>
      <c r="G58" s="39">
        <f>SUM(G37:G57)</f>
        <v>120</v>
      </c>
      <c r="H58" s="388">
        <f>SUM(H37:H57)</f>
        <v>157</v>
      </c>
      <c r="I58" s="40">
        <f>SUM(I37:I57)</f>
        <v>37</v>
      </c>
      <c r="J58" s="232"/>
      <c r="K58" s="36"/>
      <c r="L58" s="36"/>
      <c r="M58" s="753" t="s">
        <v>105</v>
      </c>
      <c r="N58" s="754"/>
      <c r="O58" s="754"/>
      <c r="P58" s="754"/>
      <c r="Q58" s="39">
        <f>SUM(Q37:Q57)</f>
        <v>396.66666666666657</v>
      </c>
      <c r="R58" s="388">
        <f>SUM(R37:R57)</f>
        <v>349</v>
      </c>
      <c r="S58" s="40">
        <f>SUM(S37:S57)</f>
        <v>-47.666666666666643</v>
      </c>
    </row>
  </sheetData>
  <mergeCells count="79">
    <mergeCell ref="A1:I1"/>
    <mergeCell ref="K1:S1"/>
    <mergeCell ref="A2:I2"/>
    <mergeCell ref="K2:S2"/>
    <mergeCell ref="A3:A4"/>
    <mergeCell ref="B3:B4"/>
    <mergeCell ref="C3:C4"/>
    <mergeCell ref="D3:F3"/>
    <mergeCell ref="G3:G4"/>
    <mergeCell ref="H3:H4"/>
    <mergeCell ref="R3:R4"/>
    <mergeCell ref="S3:S4"/>
    <mergeCell ref="A18:I18"/>
    <mergeCell ref="K18:S18"/>
    <mergeCell ref="I3:I4"/>
    <mergeCell ref="K3:K4"/>
    <mergeCell ref="L3:L4"/>
    <mergeCell ref="M3:M4"/>
    <mergeCell ref="N3:P3"/>
    <mergeCell ref="Q3:Q4"/>
    <mergeCell ref="A17:F17"/>
    <mergeCell ref="K17:P17"/>
    <mergeCell ref="S20:S21"/>
    <mergeCell ref="A19:I19"/>
    <mergeCell ref="K19:S19"/>
    <mergeCell ref="A20:A21"/>
    <mergeCell ref="B20:B21"/>
    <mergeCell ref="C20:C21"/>
    <mergeCell ref="D20:F20"/>
    <mergeCell ref="G20:G21"/>
    <mergeCell ref="H20:H21"/>
    <mergeCell ref="I20:I21"/>
    <mergeCell ref="K20:K21"/>
    <mergeCell ref="L20:L21"/>
    <mergeCell ref="M20:M21"/>
    <mergeCell ref="N20:P20"/>
    <mergeCell ref="Q20:Q21"/>
    <mergeCell ref="R20:R21"/>
    <mergeCell ref="C32:F32"/>
    <mergeCell ref="M32:P32"/>
    <mergeCell ref="A33:I33"/>
    <mergeCell ref="K33:S33"/>
    <mergeCell ref="A34:I34"/>
    <mergeCell ref="K34:S34"/>
    <mergeCell ref="A35:A36"/>
    <mergeCell ref="B35:B36"/>
    <mergeCell ref="C35:C36"/>
    <mergeCell ref="D35:F35"/>
    <mergeCell ref="G35:G36"/>
    <mergeCell ref="C58:F58"/>
    <mergeCell ref="R35:R36"/>
    <mergeCell ref="S35:S36"/>
    <mergeCell ref="I35:I36"/>
    <mergeCell ref="K35:K36"/>
    <mergeCell ref="L35:L36"/>
    <mergeCell ref="M35:M36"/>
    <mergeCell ref="N35:P35"/>
    <mergeCell ref="Q35:Q36"/>
    <mergeCell ref="H35:H36"/>
    <mergeCell ref="M58:P58"/>
    <mergeCell ref="U2:Z2"/>
    <mergeCell ref="U3:U4"/>
    <mergeCell ref="V3:V4"/>
    <mergeCell ref="W3:W4"/>
    <mergeCell ref="X3:X4"/>
    <mergeCell ref="Y3:Y4"/>
    <mergeCell ref="Z3:Z4"/>
    <mergeCell ref="AA3:AA4"/>
    <mergeCell ref="U6:U7"/>
    <mergeCell ref="U8:U9"/>
    <mergeCell ref="U10:U11"/>
    <mergeCell ref="U12:V12"/>
    <mergeCell ref="V26:V40"/>
    <mergeCell ref="V41:W41"/>
    <mergeCell ref="V14:Z14"/>
    <mergeCell ref="V16:V24"/>
    <mergeCell ref="X16:Y16"/>
    <mergeCell ref="X17:Y17"/>
    <mergeCell ref="V25:Z25"/>
  </mergeCells>
  <pageMargins left="0.7" right="0.7" top="0.75" bottom="0.75" header="0.3" footer="0.3"/>
  <pageSetup paperSize="9" orientation="portrait" horizontalDpi="0" verticalDpi="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A1:R21"/>
  <sheetViews>
    <sheetView rightToLeft="1" workbookViewId="0">
      <selection sqref="A1:R1"/>
    </sheetView>
  </sheetViews>
  <sheetFormatPr defaultColWidth="8.796875" defaultRowHeight="13.8"/>
  <cols>
    <col min="6" max="6" width="9.69921875" customWidth="1"/>
    <col min="7" max="7" width="10.19921875" customWidth="1"/>
    <col min="8" max="9" width="10.296875" customWidth="1"/>
    <col min="10" max="10" width="11" customWidth="1"/>
    <col min="11" max="12" width="9.796875" customWidth="1"/>
    <col min="13" max="13" width="11.19921875" customWidth="1"/>
    <col min="14" max="15" width="10.19921875" customWidth="1"/>
    <col min="16" max="16" width="11.296875" customWidth="1"/>
    <col min="17" max="17" width="15.69921875" customWidth="1"/>
    <col min="18" max="18" width="11.69921875" customWidth="1"/>
  </cols>
  <sheetData>
    <row r="1" spans="1:18" ht="39.75" customHeight="1">
      <c r="A1" s="778" t="s">
        <v>325</v>
      </c>
      <c r="B1" s="778"/>
      <c r="C1" s="778"/>
      <c r="D1" s="778"/>
      <c r="E1" s="778"/>
      <c r="F1" s="778"/>
      <c r="G1" s="778"/>
      <c r="H1" s="778"/>
      <c r="I1" s="778"/>
      <c r="J1" s="778"/>
      <c r="K1" s="778"/>
      <c r="L1" s="778"/>
      <c r="M1" s="778"/>
      <c r="N1" s="778"/>
      <c r="O1" s="778"/>
      <c r="P1" s="778"/>
      <c r="Q1" s="778"/>
      <c r="R1" s="778"/>
    </row>
    <row r="2" spans="1:18" ht="43.5" customHeight="1">
      <c r="A2" s="779" t="s">
        <v>326</v>
      </c>
      <c r="B2" s="781" t="s">
        <v>347</v>
      </c>
      <c r="C2" s="779" t="s">
        <v>25</v>
      </c>
      <c r="D2" s="779" t="s">
        <v>327</v>
      </c>
      <c r="E2" s="780" t="s">
        <v>328</v>
      </c>
      <c r="F2" s="780"/>
      <c r="G2" s="780"/>
      <c r="H2" s="780" t="s">
        <v>329</v>
      </c>
      <c r="I2" s="780"/>
      <c r="J2" s="780"/>
      <c r="K2" s="780" t="s">
        <v>330</v>
      </c>
      <c r="L2" s="780"/>
      <c r="M2" s="780"/>
      <c r="N2" s="780" t="s">
        <v>331</v>
      </c>
      <c r="O2" s="780"/>
      <c r="P2" s="780"/>
      <c r="Q2" s="781" t="s">
        <v>332</v>
      </c>
      <c r="R2" s="781" t="s">
        <v>333</v>
      </c>
    </row>
    <row r="3" spans="1:18" ht="43.5" customHeight="1">
      <c r="A3" s="779"/>
      <c r="B3" s="782"/>
      <c r="C3" s="779"/>
      <c r="D3" s="779"/>
      <c r="E3" s="124" t="s">
        <v>334</v>
      </c>
      <c r="F3" s="124" t="s">
        <v>335</v>
      </c>
      <c r="G3" s="124" t="s">
        <v>336</v>
      </c>
      <c r="H3" s="125" t="s">
        <v>337</v>
      </c>
      <c r="I3" s="125" t="s">
        <v>338</v>
      </c>
      <c r="J3" s="125" t="s">
        <v>339</v>
      </c>
      <c r="K3" s="125" t="s">
        <v>337</v>
      </c>
      <c r="L3" s="125" t="s">
        <v>340</v>
      </c>
      <c r="M3" s="125" t="s">
        <v>339</v>
      </c>
      <c r="N3" s="125" t="s">
        <v>337</v>
      </c>
      <c r="O3" s="125" t="s">
        <v>341</v>
      </c>
      <c r="P3" s="125" t="s">
        <v>339</v>
      </c>
      <c r="Q3" s="782"/>
      <c r="R3" s="782"/>
    </row>
    <row r="4" spans="1:18" ht="29.25" customHeight="1">
      <c r="A4" s="126">
        <v>1444</v>
      </c>
      <c r="B4" s="783">
        <v>110331</v>
      </c>
      <c r="C4" s="126" t="s">
        <v>5</v>
      </c>
      <c r="D4" s="126" t="s">
        <v>342</v>
      </c>
      <c r="E4" s="127">
        <v>60</v>
      </c>
      <c r="F4" s="139">
        <v>69.599999999999994</v>
      </c>
      <c r="G4" s="139">
        <v>69.599999999999994</v>
      </c>
      <c r="H4" s="127">
        <v>1678</v>
      </c>
      <c r="I4" s="124"/>
      <c r="J4" s="798" t="s">
        <v>343</v>
      </c>
      <c r="K4" s="127">
        <v>287</v>
      </c>
      <c r="L4" s="124"/>
      <c r="M4" s="774"/>
      <c r="N4" s="127">
        <v>29</v>
      </c>
      <c r="O4" s="124"/>
      <c r="P4" s="774"/>
      <c r="Q4" s="126" t="s">
        <v>344</v>
      </c>
      <c r="R4" s="774"/>
    </row>
    <row r="5" spans="1:18" ht="29.25" customHeight="1">
      <c r="A5" s="126">
        <v>1443</v>
      </c>
      <c r="B5" s="784"/>
      <c r="C5" s="126" t="s">
        <v>5</v>
      </c>
      <c r="D5" s="126" t="s">
        <v>342</v>
      </c>
      <c r="E5" s="127">
        <v>60.1</v>
      </c>
      <c r="F5" s="139">
        <v>70.400000000000006</v>
      </c>
      <c r="G5" s="139">
        <v>69.3</v>
      </c>
      <c r="H5" s="127">
        <v>1672</v>
      </c>
      <c r="I5" s="124">
        <v>4643</v>
      </c>
      <c r="J5" s="799"/>
      <c r="K5" s="127">
        <v>277</v>
      </c>
      <c r="L5" s="124">
        <v>564</v>
      </c>
      <c r="M5" s="775"/>
      <c r="N5" s="127">
        <v>19</v>
      </c>
      <c r="O5" s="124"/>
      <c r="P5" s="775"/>
      <c r="Q5" s="126" t="s">
        <v>345</v>
      </c>
      <c r="R5" s="775"/>
    </row>
    <row r="6" spans="1:18" ht="29.25" customHeight="1">
      <c r="A6" s="126">
        <v>1442</v>
      </c>
      <c r="B6" s="785"/>
      <c r="C6" s="126" t="s">
        <v>5</v>
      </c>
      <c r="D6" s="126" t="s">
        <v>342</v>
      </c>
      <c r="E6" s="127">
        <v>59.7</v>
      </c>
      <c r="F6" s="139">
        <v>69.599999999999994</v>
      </c>
      <c r="G6" s="139">
        <v>68.900000000000006</v>
      </c>
      <c r="H6" s="127">
        <v>1684</v>
      </c>
      <c r="I6" s="124">
        <v>2372</v>
      </c>
      <c r="J6" s="800"/>
      <c r="K6" s="127">
        <v>269</v>
      </c>
      <c r="L6" s="124">
        <v>286</v>
      </c>
      <c r="M6" s="775"/>
      <c r="N6" s="127">
        <v>18</v>
      </c>
      <c r="O6" s="124"/>
      <c r="P6" s="775"/>
      <c r="Q6" s="126" t="s">
        <v>345</v>
      </c>
      <c r="R6" s="775"/>
    </row>
    <row r="7" spans="1:18" ht="29.25" customHeight="1">
      <c r="A7" s="128">
        <v>1444</v>
      </c>
      <c r="B7" s="786">
        <v>195585</v>
      </c>
      <c r="C7" s="128" t="s">
        <v>3</v>
      </c>
      <c r="D7" s="128" t="s">
        <v>342</v>
      </c>
      <c r="E7" s="129">
        <v>73.7</v>
      </c>
      <c r="F7" s="139">
        <v>73.2</v>
      </c>
      <c r="G7" s="139">
        <v>73.2</v>
      </c>
      <c r="H7" s="129">
        <v>544</v>
      </c>
      <c r="I7" s="124"/>
      <c r="J7" s="776"/>
      <c r="K7" s="129">
        <v>154</v>
      </c>
      <c r="L7" s="124"/>
      <c r="M7" s="776"/>
      <c r="N7" s="129">
        <v>13</v>
      </c>
      <c r="O7" s="124"/>
      <c r="P7" s="776"/>
      <c r="Q7" s="128" t="s">
        <v>344</v>
      </c>
      <c r="R7" s="776"/>
    </row>
    <row r="8" spans="1:18" ht="29.25" customHeight="1">
      <c r="A8" s="128">
        <v>1443</v>
      </c>
      <c r="B8" s="787"/>
      <c r="C8" s="128" t="s">
        <v>3</v>
      </c>
      <c r="D8" s="128" t="s">
        <v>342</v>
      </c>
      <c r="E8" s="129">
        <v>71.7</v>
      </c>
      <c r="F8" s="139">
        <v>71.900000000000006</v>
      </c>
      <c r="G8" s="139">
        <v>73.2</v>
      </c>
      <c r="H8" s="129">
        <v>840</v>
      </c>
      <c r="I8" s="124">
        <v>5092</v>
      </c>
      <c r="J8" s="777"/>
      <c r="K8" s="129">
        <v>198</v>
      </c>
      <c r="L8" s="124">
        <v>675</v>
      </c>
      <c r="M8" s="777"/>
      <c r="N8" s="129">
        <v>19</v>
      </c>
      <c r="O8" s="124"/>
      <c r="P8" s="777"/>
      <c r="Q8" s="128" t="s">
        <v>345</v>
      </c>
      <c r="R8" s="777"/>
    </row>
    <row r="9" spans="1:18" ht="29.25" customHeight="1">
      <c r="A9" s="128">
        <v>1442</v>
      </c>
      <c r="B9" s="788"/>
      <c r="C9" s="128" t="s">
        <v>3</v>
      </c>
      <c r="D9" s="128" t="s">
        <v>342</v>
      </c>
      <c r="E9" s="129">
        <v>69.8</v>
      </c>
      <c r="F9" s="139">
        <v>71.3</v>
      </c>
      <c r="G9" s="139">
        <v>72.900000000000006</v>
      </c>
      <c r="H9" s="129">
        <v>1038</v>
      </c>
      <c r="I9" s="124">
        <v>2593</v>
      </c>
      <c r="J9" s="777"/>
      <c r="K9" s="129">
        <v>228</v>
      </c>
      <c r="L9" s="124">
        <v>337</v>
      </c>
      <c r="M9" s="777"/>
      <c r="N9" s="129">
        <v>23</v>
      </c>
      <c r="O9" s="124"/>
      <c r="P9" s="777"/>
      <c r="Q9" s="128" t="s">
        <v>345</v>
      </c>
      <c r="R9" s="777"/>
    </row>
    <row r="10" spans="1:18" ht="29.25" customHeight="1">
      <c r="A10" s="126">
        <v>1444</v>
      </c>
      <c r="B10" s="783">
        <v>110331</v>
      </c>
      <c r="C10" s="126" t="s">
        <v>5</v>
      </c>
      <c r="D10" s="126" t="s">
        <v>346</v>
      </c>
      <c r="E10" s="127">
        <v>55.3</v>
      </c>
      <c r="F10" s="139">
        <v>63.9</v>
      </c>
      <c r="G10" s="139">
        <v>63.7</v>
      </c>
      <c r="H10" s="127">
        <v>1853</v>
      </c>
      <c r="I10" s="124"/>
      <c r="J10" s="776"/>
      <c r="K10" s="127">
        <v>278</v>
      </c>
      <c r="L10" s="124"/>
      <c r="M10" s="774"/>
      <c r="N10" s="127">
        <v>29</v>
      </c>
      <c r="O10" s="124"/>
      <c r="P10" s="774"/>
      <c r="Q10" s="126" t="s">
        <v>344</v>
      </c>
      <c r="R10" s="774"/>
    </row>
    <row r="11" spans="1:18" ht="29.25" customHeight="1">
      <c r="A11" s="126">
        <v>1443</v>
      </c>
      <c r="B11" s="784"/>
      <c r="C11" s="126" t="s">
        <v>5</v>
      </c>
      <c r="D11" s="126" t="s">
        <v>346</v>
      </c>
      <c r="E11" s="127">
        <v>56.1</v>
      </c>
      <c r="F11" s="139">
        <v>64.400000000000006</v>
      </c>
      <c r="G11" s="139">
        <v>63.5</v>
      </c>
      <c r="H11" s="127">
        <v>1854</v>
      </c>
      <c r="I11" s="124"/>
      <c r="J11" s="777"/>
      <c r="K11" s="127">
        <v>270</v>
      </c>
      <c r="L11" s="124"/>
      <c r="M11" s="775"/>
      <c r="N11" s="127">
        <v>19</v>
      </c>
      <c r="O11" s="124"/>
      <c r="P11" s="775"/>
      <c r="Q11" s="126" t="s">
        <v>345</v>
      </c>
      <c r="R11" s="775"/>
    </row>
    <row r="12" spans="1:18" ht="29.25" customHeight="1">
      <c r="A12" s="126">
        <v>1442</v>
      </c>
      <c r="B12" s="785"/>
      <c r="C12" s="126" t="s">
        <v>5</v>
      </c>
      <c r="D12" s="126" t="s">
        <v>346</v>
      </c>
      <c r="E12" s="127">
        <v>56.8</v>
      </c>
      <c r="F12" s="139">
        <v>65.400000000000006</v>
      </c>
      <c r="G12" s="139">
        <v>66.900000000000006</v>
      </c>
      <c r="H12" s="127">
        <v>1860</v>
      </c>
      <c r="I12" s="124"/>
      <c r="J12" s="777"/>
      <c r="K12" s="127">
        <v>266</v>
      </c>
      <c r="L12" s="124"/>
      <c r="M12" s="775"/>
      <c r="N12" s="127">
        <v>19</v>
      </c>
      <c r="O12" s="124"/>
      <c r="P12" s="775"/>
      <c r="Q12" s="126" t="s">
        <v>345</v>
      </c>
      <c r="R12" s="775"/>
    </row>
    <row r="13" spans="1:18" ht="29.25" customHeight="1">
      <c r="A13" s="128">
        <v>1444</v>
      </c>
      <c r="B13" s="786">
        <v>195585</v>
      </c>
      <c r="C13" s="128" t="s">
        <v>3</v>
      </c>
      <c r="D13" s="128" t="s">
        <v>346</v>
      </c>
      <c r="E13" s="129">
        <v>67</v>
      </c>
      <c r="F13" s="139">
        <v>70.5</v>
      </c>
      <c r="G13" s="139">
        <v>70.7</v>
      </c>
      <c r="H13" s="129">
        <v>1291</v>
      </c>
      <c r="I13" s="124"/>
      <c r="J13" s="776"/>
      <c r="K13" s="129">
        <v>262</v>
      </c>
      <c r="L13" s="124"/>
      <c r="M13" s="776"/>
      <c r="N13" s="129">
        <v>24</v>
      </c>
      <c r="O13" s="124"/>
      <c r="P13" s="776"/>
      <c r="Q13" s="128" t="s">
        <v>344</v>
      </c>
      <c r="R13" s="776"/>
    </row>
    <row r="14" spans="1:18" ht="29.25" customHeight="1">
      <c r="A14" s="128">
        <v>1443</v>
      </c>
      <c r="B14" s="787"/>
      <c r="C14" s="128" t="s">
        <v>3</v>
      </c>
      <c r="D14" s="128" t="s">
        <v>346</v>
      </c>
      <c r="E14" s="129">
        <v>65</v>
      </c>
      <c r="F14" s="139">
        <v>68.599999999999994</v>
      </c>
      <c r="G14" s="139">
        <v>70</v>
      </c>
      <c r="H14" s="129">
        <v>1376</v>
      </c>
      <c r="I14" s="124"/>
      <c r="J14" s="777"/>
      <c r="K14" s="129">
        <v>273</v>
      </c>
      <c r="L14" s="124"/>
      <c r="M14" s="777"/>
      <c r="N14" s="129">
        <v>37</v>
      </c>
      <c r="O14" s="124"/>
      <c r="P14" s="777"/>
      <c r="Q14" s="128" t="s">
        <v>345</v>
      </c>
      <c r="R14" s="777"/>
    </row>
    <row r="15" spans="1:18" ht="29.25" customHeight="1">
      <c r="A15" s="128">
        <v>1442</v>
      </c>
      <c r="B15" s="788"/>
      <c r="C15" s="128" t="s">
        <v>3</v>
      </c>
      <c r="D15" s="128" t="s">
        <v>346</v>
      </c>
      <c r="E15" s="129">
        <v>66.7</v>
      </c>
      <c r="F15" s="139">
        <v>70.7</v>
      </c>
      <c r="G15" s="139">
        <v>72.2</v>
      </c>
      <c r="H15" s="129">
        <v>1339</v>
      </c>
      <c r="I15" s="130"/>
      <c r="J15" s="777"/>
      <c r="K15" s="129">
        <v>273</v>
      </c>
      <c r="L15" s="130"/>
      <c r="M15" s="777"/>
      <c r="N15" s="129">
        <v>37</v>
      </c>
      <c r="O15" s="130"/>
      <c r="P15" s="777"/>
      <c r="Q15" s="128" t="s">
        <v>345</v>
      </c>
      <c r="R15" s="777"/>
    </row>
    <row r="16" spans="1:18" ht="14.4" thickBot="1"/>
    <row r="17" spans="7:14" ht="14.4" thickTop="1">
      <c r="G17" s="789" t="s">
        <v>350</v>
      </c>
      <c r="H17" s="790"/>
      <c r="I17" s="790"/>
      <c r="J17" s="790"/>
      <c r="K17" s="790"/>
      <c r="L17" s="790"/>
      <c r="M17" s="790"/>
      <c r="N17" s="791"/>
    </row>
    <row r="18" spans="7:14">
      <c r="G18" s="792"/>
      <c r="H18" s="793"/>
      <c r="I18" s="793"/>
      <c r="J18" s="793"/>
      <c r="K18" s="793"/>
      <c r="L18" s="793"/>
      <c r="M18" s="793"/>
      <c r="N18" s="794"/>
    </row>
    <row r="19" spans="7:14">
      <c r="G19" s="792"/>
      <c r="H19" s="793"/>
      <c r="I19" s="793"/>
      <c r="J19" s="793"/>
      <c r="K19" s="793"/>
      <c r="L19" s="793"/>
      <c r="M19" s="793"/>
      <c r="N19" s="794"/>
    </row>
    <row r="20" spans="7:14" ht="14.4" thickBot="1">
      <c r="G20" s="795"/>
      <c r="H20" s="796"/>
      <c r="I20" s="796"/>
      <c r="J20" s="796"/>
      <c r="K20" s="796"/>
      <c r="L20" s="796"/>
      <c r="M20" s="796"/>
      <c r="N20" s="797"/>
    </row>
    <row r="21" spans="7:14" ht="14.4" thickTop="1"/>
  </sheetData>
  <mergeCells count="32">
    <mergeCell ref="B4:B6"/>
    <mergeCell ref="B7:B9"/>
    <mergeCell ref="B10:B12"/>
    <mergeCell ref="B13:B15"/>
    <mergeCell ref="G17:N20"/>
    <mergeCell ref="J4:J6"/>
    <mergeCell ref="M4:M6"/>
    <mergeCell ref="J10:J12"/>
    <mergeCell ref="M10:M12"/>
    <mergeCell ref="A1:R1"/>
    <mergeCell ref="A2:A3"/>
    <mergeCell ref="C2:C3"/>
    <mergeCell ref="D2:D3"/>
    <mergeCell ref="E2:G2"/>
    <mergeCell ref="H2:J2"/>
    <mergeCell ref="K2:M2"/>
    <mergeCell ref="N2:P2"/>
    <mergeCell ref="Q2:Q3"/>
    <mergeCell ref="R2:R3"/>
    <mergeCell ref="B2:B3"/>
    <mergeCell ref="P4:P6"/>
    <mergeCell ref="R4:R6"/>
    <mergeCell ref="J7:J9"/>
    <mergeCell ref="M7:M9"/>
    <mergeCell ref="P7:P9"/>
    <mergeCell ref="R7:R9"/>
    <mergeCell ref="P10:P12"/>
    <mergeCell ref="R10:R12"/>
    <mergeCell ref="J13:J15"/>
    <mergeCell ref="M13:M15"/>
    <mergeCell ref="P13:P15"/>
    <mergeCell ref="R13:R15"/>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A1:R19"/>
  <sheetViews>
    <sheetView rightToLeft="1" workbookViewId="0">
      <selection activeCell="D14" sqref="D14"/>
    </sheetView>
  </sheetViews>
  <sheetFormatPr defaultColWidth="8.796875" defaultRowHeight="13.8"/>
  <cols>
    <col min="1" max="1" width="14.296875" customWidth="1"/>
    <col min="2" max="2" width="22.296875" customWidth="1"/>
    <col min="3" max="3" width="18.5" customWidth="1"/>
    <col min="4" max="4" width="17.796875" customWidth="1"/>
    <col min="5" max="5" width="11.19921875" customWidth="1"/>
    <col min="6" max="6" width="10.5" customWidth="1"/>
    <col min="7" max="7" width="9.796875" customWidth="1"/>
    <col min="8" max="8" width="13" customWidth="1"/>
    <col min="11" max="11" width="11.19921875" customWidth="1"/>
    <col min="12" max="12" width="20.796875" customWidth="1"/>
    <col min="13" max="13" width="19.19921875" customWidth="1"/>
    <col min="14" max="14" width="14.69921875" customWidth="1"/>
    <col min="15" max="15" width="13" customWidth="1"/>
    <col min="16" max="16" width="19.296875" customWidth="1"/>
    <col min="17" max="17" width="14.796875" customWidth="1"/>
    <col min="18" max="18" width="17.796875" customWidth="1"/>
  </cols>
  <sheetData>
    <row r="1" spans="1:18" ht="40.5" customHeight="1" thickTop="1" thickBot="1">
      <c r="A1" s="809" t="s">
        <v>1753</v>
      </c>
      <c r="B1" s="810"/>
      <c r="C1" s="810"/>
      <c r="D1" s="810"/>
      <c r="E1" s="810"/>
      <c r="F1" s="810"/>
      <c r="G1" s="810"/>
      <c r="H1" s="811"/>
      <c r="K1" s="647" t="s">
        <v>1754</v>
      </c>
      <c r="L1" s="647"/>
      <c r="M1" s="647"/>
      <c r="N1" s="647"/>
      <c r="O1" s="647"/>
      <c r="P1" s="647"/>
      <c r="Q1" s="647"/>
      <c r="R1" s="647"/>
    </row>
    <row r="2" spans="1:18" ht="43.5" customHeight="1" thickTop="1">
      <c r="A2" s="812" t="s">
        <v>313</v>
      </c>
      <c r="B2" s="814" t="s">
        <v>306</v>
      </c>
      <c r="C2" s="814" t="s">
        <v>51</v>
      </c>
      <c r="D2" s="814" t="s">
        <v>311</v>
      </c>
      <c r="E2" s="814" t="s">
        <v>310</v>
      </c>
      <c r="F2" s="814"/>
      <c r="G2" s="814"/>
      <c r="H2" s="816"/>
      <c r="K2" s="815" t="s">
        <v>313</v>
      </c>
      <c r="L2" s="815" t="s">
        <v>316</v>
      </c>
      <c r="M2" s="815" t="s">
        <v>51</v>
      </c>
      <c r="N2" s="815" t="s">
        <v>315</v>
      </c>
      <c r="O2" s="815" t="s">
        <v>314</v>
      </c>
      <c r="P2" s="815"/>
      <c r="Q2" s="815"/>
      <c r="R2" s="825"/>
    </row>
    <row r="3" spans="1:18" ht="43.5" customHeight="1">
      <c r="A3" s="813"/>
      <c r="B3" s="815"/>
      <c r="C3" s="815"/>
      <c r="D3" s="815"/>
      <c r="E3" s="88" t="s">
        <v>318</v>
      </c>
      <c r="F3" s="88" t="s">
        <v>319</v>
      </c>
      <c r="G3" s="88" t="s">
        <v>320</v>
      </c>
      <c r="H3" s="89" t="s">
        <v>321</v>
      </c>
      <c r="K3" s="815"/>
      <c r="L3" s="815"/>
      <c r="M3" s="815"/>
      <c r="N3" s="815"/>
      <c r="O3" s="88" t="s">
        <v>318</v>
      </c>
      <c r="P3" s="88" t="s">
        <v>319</v>
      </c>
      <c r="Q3" s="88" t="s">
        <v>320</v>
      </c>
      <c r="R3" s="89" t="s">
        <v>317</v>
      </c>
    </row>
    <row r="4" spans="1:18" ht="27.75" customHeight="1">
      <c r="A4" s="801" t="s">
        <v>309</v>
      </c>
      <c r="B4" s="112"/>
      <c r="C4" s="113"/>
      <c r="D4" s="113"/>
      <c r="E4" s="113"/>
      <c r="F4" s="113"/>
      <c r="G4" s="114"/>
      <c r="H4" s="118">
        <f t="shared" ref="H4:H17" si="0">E4+F4+G4/3</f>
        <v>0</v>
      </c>
      <c r="K4" s="817" t="s">
        <v>309</v>
      </c>
      <c r="L4" s="112"/>
      <c r="M4" s="113"/>
      <c r="N4" s="113"/>
      <c r="O4" s="113"/>
      <c r="P4" s="113"/>
      <c r="Q4" s="114"/>
      <c r="R4" s="118">
        <f t="shared" ref="R4:R18" si="1">O4+P4+Q4/3</f>
        <v>0</v>
      </c>
    </row>
    <row r="5" spans="1:18" ht="27.75" customHeight="1">
      <c r="A5" s="801"/>
      <c r="B5" s="112"/>
      <c r="C5" s="113"/>
      <c r="D5" s="113"/>
      <c r="E5" s="113"/>
      <c r="F5" s="113"/>
      <c r="G5" s="114"/>
      <c r="H5" s="118">
        <f t="shared" si="0"/>
        <v>0</v>
      </c>
      <c r="K5" s="817"/>
      <c r="L5" s="112"/>
      <c r="M5" s="113"/>
      <c r="N5" s="113"/>
      <c r="O5" s="113"/>
      <c r="P5" s="113"/>
      <c r="Q5" s="114"/>
      <c r="R5" s="118">
        <f t="shared" si="1"/>
        <v>0</v>
      </c>
    </row>
    <row r="6" spans="1:18" ht="25.5" customHeight="1" thickBot="1">
      <c r="A6" s="802"/>
      <c r="B6" s="115"/>
      <c r="C6" s="116"/>
      <c r="D6" s="116"/>
      <c r="E6" s="116"/>
      <c r="F6" s="116"/>
      <c r="G6" s="117"/>
      <c r="H6" s="119">
        <f t="shared" si="0"/>
        <v>0</v>
      </c>
      <c r="K6" s="818"/>
      <c r="L6" s="115"/>
      <c r="M6" s="116"/>
      <c r="N6" s="116"/>
      <c r="O6" s="116"/>
      <c r="P6" s="116"/>
      <c r="Q6" s="117"/>
      <c r="R6" s="119">
        <f t="shared" si="1"/>
        <v>0</v>
      </c>
    </row>
    <row r="7" spans="1:18" ht="28.5" customHeight="1" thickTop="1">
      <c r="A7" s="803" t="s">
        <v>307</v>
      </c>
      <c r="B7" s="90"/>
      <c r="C7" s="91"/>
      <c r="D7" s="91"/>
      <c r="E7" s="91"/>
      <c r="F7" s="91"/>
      <c r="G7" s="92"/>
      <c r="H7" s="120">
        <f t="shared" si="0"/>
        <v>0</v>
      </c>
      <c r="K7" s="819" t="s">
        <v>307</v>
      </c>
      <c r="L7" s="90"/>
      <c r="M7" s="91"/>
      <c r="N7" s="91"/>
      <c r="O7" s="91"/>
      <c r="P7" s="91"/>
      <c r="Q7" s="92"/>
      <c r="R7" s="120">
        <f t="shared" si="1"/>
        <v>0</v>
      </c>
    </row>
    <row r="8" spans="1:18" ht="27.75" customHeight="1">
      <c r="A8" s="804"/>
      <c r="B8" s="93"/>
      <c r="C8" s="94"/>
      <c r="D8" s="94"/>
      <c r="E8" s="95"/>
      <c r="F8" s="94"/>
      <c r="G8" s="96"/>
      <c r="H8" s="120">
        <f t="shared" si="0"/>
        <v>0</v>
      </c>
      <c r="K8" s="820"/>
      <c r="L8" s="90"/>
      <c r="M8" s="91"/>
      <c r="N8" s="91"/>
      <c r="O8" s="91"/>
      <c r="P8" s="91"/>
      <c r="Q8" s="92"/>
      <c r="R8" s="120">
        <f t="shared" si="1"/>
        <v>0</v>
      </c>
    </row>
    <row r="9" spans="1:18" ht="25.5" customHeight="1">
      <c r="A9" s="804"/>
      <c r="B9" s="93"/>
      <c r="C9" s="94"/>
      <c r="D9" s="94"/>
      <c r="E9" s="94"/>
      <c r="F9" s="94"/>
      <c r="G9" s="96"/>
      <c r="H9" s="120">
        <f t="shared" si="0"/>
        <v>0</v>
      </c>
      <c r="K9" s="820"/>
      <c r="L9" s="93"/>
      <c r="M9" s="94"/>
      <c r="N9" s="94"/>
      <c r="O9" s="95"/>
      <c r="P9" s="94"/>
      <c r="Q9" s="96"/>
      <c r="R9" s="120">
        <f t="shared" si="1"/>
        <v>0</v>
      </c>
    </row>
    <row r="10" spans="1:18" ht="25.5" customHeight="1">
      <c r="A10" s="804"/>
      <c r="B10" s="93"/>
      <c r="C10" s="94"/>
      <c r="D10" s="94"/>
      <c r="E10" s="94"/>
      <c r="F10" s="94"/>
      <c r="G10" s="96"/>
      <c r="H10" s="120">
        <f t="shared" si="0"/>
        <v>0</v>
      </c>
      <c r="K10" s="820"/>
      <c r="L10" s="93"/>
      <c r="M10" s="94"/>
      <c r="N10" s="94"/>
      <c r="O10" s="94"/>
      <c r="P10" s="94"/>
      <c r="Q10" s="96"/>
      <c r="R10" s="120">
        <f t="shared" si="1"/>
        <v>0</v>
      </c>
    </row>
    <row r="11" spans="1:18" ht="27.75" customHeight="1">
      <c r="A11" s="804"/>
      <c r="B11" s="93"/>
      <c r="C11" s="94"/>
      <c r="D11" s="94"/>
      <c r="E11" s="94"/>
      <c r="F11" s="94"/>
      <c r="G11" s="96"/>
      <c r="H11" s="120">
        <f t="shared" si="0"/>
        <v>0</v>
      </c>
      <c r="K11" s="820"/>
      <c r="L11" s="93"/>
      <c r="M11" s="94"/>
      <c r="N11" s="94"/>
      <c r="O11" s="94"/>
      <c r="P11" s="94"/>
      <c r="Q11" s="96"/>
      <c r="R11" s="120">
        <f t="shared" si="1"/>
        <v>0</v>
      </c>
    </row>
    <row r="12" spans="1:18" ht="29.25" customHeight="1" thickBot="1">
      <c r="A12" s="805"/>
      <c r="B12" s="97"/>
      <c r="C12" s="98"/>
      <c r="D12" s="98"/>
      <c r="E12" s="98"/>
      <c r="F12" s="98"/>
      <c r="G12" s="99"/>
      <c r="H12" s="121">
        <f t="shared" si="0"/>
        <v>0</v>
      </c>
      <c r="K12" s="820"/>
      <c r="L12" s="93"/>
      <c r="M12" s="94"/>
      <c r="N12" s="94"/>
      <c r="O12" s="94"/>
      <c r="P12" s="94"/>
      <c r="Q12" s="96"/>
      <c r="R12" s="120">
        <f t="shared" si="1"/>
        <v>0</v>
      </c>
    </row>
    <row r="13" spans="1:18" ht="28.5" customHeight="1" thickTop="1" thickBot="1">
      <c r="A13" s="806" t="s">
        <v>308</v>
      </c>
      <c r="B13" s="100"/>
      <c r="C13" s="101"/>
      <c r="D13" s="101"/>
      <c r="E13" s="102"/>
      <c r="F13" s="101"/>
      <c r="G13" s="103"/>
      <c r="H13" s="122">
        <f t="shared" si="0"/>
        <v>0</v>
      </c>
      <c r="K13" s="821"/>
      <c r="L13" s="97"/>
      <c r="M13" s="98"/>
      <c r="N13" s="98"/>
      <c r="O13" s="98"/>
      <c r="P13" s="98"/>
      <c r="Q13" s="99"/>
      <c r="R13" s="121">
        <f t="shared" si="1"/>
        <v>0</v>
      </c>
    </row>
    <row r="14" spans="1:18" ht="26.25" customHeight="1" thickTop="1">
      <c r="A14" s="807"/>
      <c r="B14" s="104"/>
      <c r="C14" s="105"/>
      <c r="D14" s="105"/>
      <c r="E14" s="106"/>
      <c r="F14" s="105"/>
      <c r="G14" s="107"/>
      <c r="H14" s="122">
        <f t="shared" si="0"/>
        <v>0</v>
      </c>
      <c r="K14" s="822" t="s">
        <v>308</v>
      </c>
      <c r="L14" s="100"/>
      <c r="M14" s="101"/>
      <c r="N14" s="101"/>
      <c r="O14" s="102"/>
      <c r="P14" s="101"/>
      <c r="Q14" s="103"/>
      <c r="R14" s="122">
        <f t="shared" si="1"/>
        <v>0</v>
      </c>
    </row>
    <row r="15" spans="1:18" ht="26.25" customHeight="1">
      <c r="A15" s="807"/>
      <c r="B15" s="104"/>
      <c r="C15" s="105"/>
      <c r="D15" s="105"/>
      <c r="E15" s="106"/>
      <c r="F15" s="105"/>
      <c r="G15" s="107"/>
      <c r="H15" s="122">
        <f t="shared" si="0"/>
        <v>0</v>
      </c>
      <c r="K15" s="823"/>
      <c r="L15" s="104"/>
      <c r="M15" s="105"/>
      <c r="N15" s="105"/>
      <c r="O15" s="106"/>
      <c r="P15" s="105"/>
      <c r="Q15" s="107"/>
      <c r="R15" s="122">
        <f t="shared" si="1"/>
        <v>0</v>
      </c>
    </row>
    <row r="16" spans="1:18" ht="24.75" customHeight="1">
      <c r="A16" s="807"/>
      <c r="B16" s="104"/>
      <c r="C16" s="105"/>
      <c r="D16" s="105"/>
      <c r="E16" s="106"/>
      <c r="F16" s="106"/>
      <c r="G16" s="107"/>
      <c r="H16" s="122">
        <f t="shared" si="0"/>
        <v>0</v>
      </c>
      <c r="K16" s="823"/>
      <c r="L16" s="104"/>
      <c r="M16" s="105"/>
      <c r="N16" s="105"/>
      <c r="O16" s="106"/>
      <c r="P16" s="105"/>
      <c r="Q16" s="107"/>
      <c r="R16" s="122">
        <f t="shared" si="1"/>
        <v>0</v>
      </c>
    </row>
    <row r="17" spans="1:18" ht="27" customHeight="1" thickBot="1">
      <c r="A17" s="808"/>
      <c r="B17" s="108"/>
      <c r="C17" s="109"/>
      <c r="D17" s="109"/>
      <c r="E17" s="109"/>
      <c r="F17" s="110"/>
      <c r="G17" s="111"/>
      <c r="H17" s="123">
        <f t="shared" si="0"/>
        <v>0</v>
      </c>
      <c r="K17" s="823"/>
      <c r="L17" s="104"/>
      <c r="M17" s="105"/>
      <c r="N17" s="105"/>
      <c r="O17" s="106"/>
      <c r="P17" s="106"/>
      <c r="Q17" s="107"/>
      <c r="R17" s="122">
        <f t="shared" si="1"/>
        <v>0</v>
      </c>
    </row>
    <row r="18" spans="1:18" ht="22.8" thickTop="1" thickBot="1">
      <c r="K18" s="824"/>
      <c r="L18" s="108"/>
      <c r="M18" s="109"/>
      <c r="N18" s="109"/>
      <c r="O18" s="109"/>
      <c r="P18" s="110"/>
      <c r="Q18" s="111"/>
      <c r="R18" s="123">
        <f t="shared" si="1"/>
        <v>0</v>
      </c>
    </row>
    <row r="19" spans="1:18" ht="14.4" thickTop="1"/>
  </sheetData>
  <mergeCells count="18">
    <mergeCell ref="K4:K6"/>
    <mergeCell ref="K7:K13"/>
    <mergeCell ref="K14:K18"/>
    <mergeCell ref="K1:R1"/>
    <mergeCell ref="K2:K3"/>
    <mergeCell ref="L2:L3"/>
    <mergeCell ref="M2:M3"/>
    <mergeCell ref="N2:N3"/>
    <mergeCell ref="O2:R2"/>
    <mergeCell ref="A4:A6"/>
    <mergeCell ref="A7:A12"/>
    <mergeCell ref="A13:A17"/>
    <mergeCell ref="A1:H1"/>
    <mergeCell ref="A2:A3"/>
    <mergeCell ref="B2:B3"/>
    <mergeCell ref="C2:C3"/>
    <mergeCell ref="D2:D3"/>
    <mergeCell ref="E2:H2"/>
  </mergeCells>
  <printOptions horizontalCentered="1"/>
  <pageMargins left="0.15748031496062992" right="0.15748031496062992" top="0.74803149606299213" bottom="0.74803149606299213" header="0.31496062992125984" footer="0.31496062992125984"/>
  <pageSetup paperSize="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sheetPr>
  <dimension ref="A1:G17"/>
  <sheetViews>
    <sheetView rightToLeft="1" workbookViewId="0">
      <selection sqref="A1:G1"/>
    </sheetView>
  </sheetViews>
  <sheetFormatPr defaultColWidth="8.796875" defaultRowHeight="13.8"/>
  <cols>
    <col min="1" max="1" width="20.19921875" customWidth="1"/>
    <col min="2" max="2" width="19" customWidth="1"/>
    <col min="3" max="3" width="30" customWidth="1"/>
    <col min="4" max="4" width="16.796875" customWidth="1"/>
    <col min="5" max="5" width="13.19921875" customWidth="1"/>
    <col min="6" max="6" width="22.69921875" customWidth="1"/>
    <col min="7" max="7" width="24.19921875" customWidth="1"/>
    <col min="8" max="8" width="24.5" customWidth="1"/>
  </cols>
  <sheetData>
    <row r="1" spans="1:7" ht="40.5" customHeight="1">
      <c r="A1" s="828" t="s">
        <v>1688</v>
      </c>
      <c r="B1" s="829"/>
      <c r="C1" s="829"/>
      <c r="D1" s="829"/>
      <c r="E1" s="829"/>
      <c r="F1" s="829"/>
      <c r="G1" s="830"/>
    </row>
    <row r="2" spans="1:7" ht="36" customHeight="1">
      <c r="A2" s="132" t="s">
        <v>356</v>
      </c>
      <c r="B2" s="132" t="s">
        <v>25</v>
      </c>
      <c r="C2" s="132" t="s">
        <v>351</v>
      </c>
      <c r="D2" s="826" t="s">
        <v>358</v>
      </c>
      <c r="E2" s="827"/>
      <c r="F2" s="405" t="s">
        <v>352</v>
      </c>
      <c r="G2" s="132" t="s">
        <v>354</v>
      </c>
    </row>
    <row r="3" spans="1:7" ht="26.25" customHeight="1">
      <c r="A3" s="131">
        <v>10000</v>
      </c>
      <c r="B3" s="137" t="s">
        <v>5</v>
      </c>
      <c r="C3" s="137" t="s">
        <v>353</v>
      </c>
      <c r="D3" s="406">
        <v>4500</v>
      </c>
      <c r="E3" s="408">
        <v>0</v>
      </c>
      <c r="F3" s="406">
        <v>3516.97</v>
      </c>
      <c r="G3" s="134">
        <f>(D3+E3)-F3</f>
        <v>983.0300000000002</v>
      </c>
    </row>
    <row r="4" spans="1:7" ht="26.25" customHeight="1">
      <c r="A4" s="133" t="s">
        <v>1689</v>
      </c>
      <c r="B4" s="137" t="s">
        <v>3</v>
      </c>
      <c r="C4" s="137" t="s">
        <v>1679</v>
      </c>
      <c r="D4" s="406">
        <v>3500</v>
      </c>
      <c r="E4" s="408">
        <v>0</v>
      </c>
      <c r="F4" s="406">
        <v>3423.09</v>
      </c>
      <c r="G4" s="134">
        <f t="shared" ref="G4:G5" si="0">(D4+E4)-F4</f>
        <v>76.909999999999854</v>
      </c>
    </row>
    <row r="5" spans="1:7" ht="26.25" customHeight="1">
      <c r="A5" s="407">
        <f>A3-(D3+D4+D5)</f>
        <v>0</v>
      </c>
      <c r="B5" s="137" t="s">
        <v>34</v>
      </c>
      <c r="C5" s="137" t="s">
        <v>1680</v>
      </c>
      <c r="D5" s="406">
        <v>2000</v>
      </c>
      <c r="E5" s="408">
        <v>0</v>
      </c>
      <c r="F5" s="406">
        <v>887.19</v>
      </c>
      <c r="G5" s="134">
        <f t="shared" si="0"/>
        <v>1112.81</v>
      </c>
    </row>
    <row r="6" spans="1:7" ht="37.5" customHeight="1">
      <c r="A6" s="132" t="s">
        <v>1681</v>
      </c>
      <c r="B6" s="133" t="s">
        <v>0</v>
      </c>
      <c r="C6" s="133" t="s">
        <v>351</v>
      </c>
      <c r="D6" s="826" t="s">
        <v>1685</v>
      </c>
      <c r="E6" s="827"/>
      <c r="F6" s="405" t="s">
        <v>355</v>
      </c>
      <c r="G6" s="405" t="s">
        <v>1684</v>
      </c>
    </row>
    <row r="7" spans="1:7" ht="26.25" customHeight="1">
      <c r="A7" s="131">
        <v>10000</v>
      </c>
      <c r="B7" s="137" t="s">
        <v>5</v>
      </c>
      <c r="C7" s="137" t="s">
        <v>353</v>
      </c>
      <c r="D7" s="406">
        <v>5000</v>
      </c>
      <c r="E7" s="134">
        <f>G3</f>
        <v>983.0300000000002</v>
      </c>
      <c r="F7" s="406">
        <v>4828.32</v>
      </c>
      <c r="G7" s="134">
        <f>(D7+E7)-F7</f>
        <v>1154.7100000000009</v>
      </c>
    </row>
    <row r="8" spans="1:7" ht="26.25" customHeight="1">
      <c r="A8" s="133" t="s">
        <v>1689</v>
      </c>
      <c r="B8" s="137" t="s">
        <v>3</v>
      </c>
      <c r="C8" s="137" t="s">
        <v>1679</v>
      </c>
      <c r="D8" s="406">
        <v>3500</v>
      </c>
      <c r="E8" s="134">
        <f t="shared" ref="E8:E9" si="1">G4</f>
        <v>76.909999999999854</v>
      </c>
      <c r="F8" s="406">
        <v>1682.01</v>
      </c>
      <c r="G8" s="134">
        <f t="shared" ref="G8:G9" si="2">(D8+E8)-F8</f>
        <v>1894.8999999999999</v>
      </c>
    </row>
    <row r="9" spans="1:7" ht="26.25" customHeight="1">
      <c r="A9" s="407">
        <f>A7-(D7+D8+D9)</f>
        <v>0</v>
      </c>
      <c r="B9" s="137" t="s">
        <v>34</v>
      </c>
      <c r="C9" s="137" t="s">
        <v>1680</v>
      </c>
      <c r="D9" s="406">
        <v>1500</v>
      </c>
      <c r="E9" s="134">
        <f t="shared" si="1"/>
        <v>1112.81</v>
      </c>
      <c r="F9" s="406">
        <v>705.18</v>
      </c>
      <c r="G9" s="134">
        <f t="shared" si="2"/>
        <v>1907.63</v>
      </c>
    </row>
    <row r="10" spans="1:7" ht="37.5" customHeight="1">
      <c r="A10" s="132" t="s">
        <v>1682</v>
      </c>
      <c r="B10" s="133" t="s">
        <v>0</v>
      </c>
      <c r="C10" s="133" t="s">
        <v>351</v>
      </c>
      <c r="D10" s="826" t="s">
        <v>1686</v>
      </c>
      <c r="E10" s="827"/>
      <c r="F10" s="405" t="s">
        <v>357</v>
      </c>
      <c r="G10" s="405" t="s">
        <v>1687</v>
      </c>
    </row>
    <row r="11" spans="1:7" ht="27.75" customHeight="1">
      <c r="A11" s="131"/>
      <c r="B11" s="137" t="s">
        <v>5</v>
      </c>
      <c r="C11" s="137" t="s">
        <v>353</v>
      </c>
      <c r="D11" s="406">
        <v>7000</v>
      </c>
      <c r="E11" s="136">
        <f>G7</f>
        <v>1154.7100000000009</v>
      </c>
      <c r="F11" s="406"/>
      <c r="G11" s="134">
        <f>(D11+E11)-F11</f>
        <v>8154.7100000000009</v>
      </c>
    </row>
    <row r="12" spans="1:7" ht="27.75" customHeight="1">
      <c r="A12" s="133" t="s">
        <v>1689</v>
      </c>
      <c r="B12" s="137" t="s">
        <v>3</v>
      </c>
      <c r="C12" s="137" t="s">
        <v>1679</v>
      </c>
      <c r="D12" s="406"/>
      <c r="E12" s="136">
        <f t="shared" ref="E12" si="3">G8</f>
        <v>1894.8999999999999</v>
      </c>
      <c r="F12" s="406"/>
      <c r="G12" s="134">
        <f t="shared" ref="G12:G17" si="4">(D12+E12)-F12</f>
        <v>1894.8999999999999</v>
      </c>
    </row>
    <row r="13" spans="1:7" ht="27.75" customHeight="1">
      <c r="A13" s="407">
        <f>A11-(D11+D12+D13)</f>
        <v>-7000</v>
      </c>
      <c r="B13" s="137" t="s">
        <v>34</v>
      </c>
      <c r="C13" s="137" t="s">
        <v>1680</v>
      </c>
      <c r="D13" s="406"/>
      <c r="E13" s="136">
        <f>G9-2000</f>
        <v>-92.369999999999891</v>
      </c>
      <c r="F13" s="406"/>
      <c r="G13" s="134">
        <f t="shared" si="4"/>
        <v>-92.369999999999891</v>
      </c>
    </row>
    <row r="14" spans="1:7" ht="37.049999999999997" customHeight="1">
      <c r="A14" s="132" t="s">
        <v>1683</v>
      </c>
      <c r="B14" s="133" t="s">
        <v>0</v>
      </c>
      <c r="C14" s="133" t="s">
        <v>351</v>
      </c>
      <c r="D14" s="826" t="s">
        <v>1686</v>
      </c>
      <c r="E14" s="827"/>
      <c r="F14" s="405" t="s">
        <v>357</v>
      </c>
      <c r="G14" s="405" t="s">
        <v>1687</v>
      </c>
    </row>
    <row r="15" spans="1:7" ht="27.75" customHeight="1">
      <c r="A15" s="131"/>
      <c r="B15" s="137" t="s">
        <v>5</v>
      </c>
      <c r="C15" s="137" t="s">
        <v>353</v>
      </c>
      <c r="D15" s="406"/>
      <c r="E15" s="136"/>
      <c r="F15" s="406"/>
      <c r="G15" s="134">
        <f t="shared" si="4"/>
        <v>0</v>
      </c>
    </row>
    <row r="16" spans="1:7" ht="33" customHeight="1">
      <c r="A16" s="133" t="s">
        <v>1689</v>
      </c>
      <c r="B16" s="137" t="s">
        <v>3</v>
      </c>
      <c r="C16" s="137" t="s">
        <v>1679</v>
      </c>
      <c r="D16" s="406"/>
      <c r="E16" s="136"/>
      <c r="F16" s="406"/>
      <c r="G16" s="134">
        <f t="shared" si="4"/>
        <v>0</v>
      </c>
    </row>
    <row r="17" spans="1:7" ht="33" customHeight="1">
      <c r="A17" s="407">
        <f>A15-(D15+D16+D17)</f>
        <v>0</v>
      </c>
      <c r="B17" s="137" t="s">
        <v>34</v>
      </c>
      <c r="C17" s="137" t="s">
        <v>1680</v>
      </c>
      <c r="D17" s="406"/>
      <c r="E17" s="136"/>
      <c r="F17" s="406"/>
      <c r="G17" s="134">
        <f t="shared" si="4"/>
        <v>0</v>
      </c>
    </row>
  </sheetData>
  <mergeCells count="5">
    <mergeCell ref="D10:E10"/>
    <mergeCell ref="D14:E14"/>
    <mergeCell ref="A1:G1"/>
    <mergeCell ref="D6:E6"/>
    <mergeCell ref="D2:E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23</vt:i4>
      </vt:variant>
    </vt:vector>
  </HeadingPairs>
  <TitlesOfParts>
    <vt:vector size="23" baseType="lpstr">
      <vt:lpstr>دليل الملف</vt:lpstr>
      <vt:lpstr>مؤشرات المجمع</vt:lpstr>
      <vt:lpstr>إحصاء الطلاب</vt:lpstr>
      <vt:lpstr>المعلمين</vt:lpstr>
      <vt:lpstr>المعلمات</vt:lpstr>
      <vt:lpstr>إدارة المجمع</vt:lpstr>
      <vt:lpstr>اداريين دار القلم</vt:lpstr>
      <vt:lpstr>اداريات دار القلم</vt:lpstr>
      <vt:lpstr>شواغر دار القلم</vt:lpstr>
      <vt:lpstr>مقارنة النمو</vt:lpstr>
      <vt:lpstr>الإحصاء العام للمجمع</vt:lpstr>
      <vt:lpstr>بيانات رواتب دار القلم</vt:lpstr>
      <vt:lpstr>اسناد بنين ف١</vt:lpstr>
      <vt:lpstr>اسناد البنات ف١</vt:lpstr>
      <vt:lpstr>الطاقة الاستيعابية</vt:lpstr>
      <vt:lpstr>إحصاء التخصصات</vt:lpstr>
      <vt:lpstr>نشاط بنين ف٢</vt:lpstr>
      <vt:lpstr>نشاط بنات ف٢</vt:lpstr>
      <vt:lpstr>الخدمات المساندة</vt:lpstr>
      <vt:lpstr>مساحات الفصول</vt:lpstr>
      <vt:lpstr>القدرات والتحصيلي</vt:lpstr>
      <vt:lpstr>تصنيف العاملين </vt:lpstr>
      <vt:lpstr>العهدة المالية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2026-05-13T09:11:01Z</cp:lastPrinted>
  <dcterms:created xsi:type="dcterms:W3CDTF">2006-09-13T11:26:54Z</dcterms:created>
  <dcterms:modified xsi:type="dcterms:W3CDTF">2026-09-04T19:07:31Z</dcterms:modified>
</cp:coreProperties>
</file>